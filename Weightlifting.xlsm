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6f7379c926acfa2/Desktop/PR App/"/>
    </mc:Choice>
  </mc:AlternateContent>
  <xr:revisionPtr revIDLastSave="370" documentId="8_{7AF81C05-9A76-4DC8-B684-8BAFDB10BF29}" xr6:coauthVersionLast="47" xr6:coauthVersionMax="47" xr10:uidLastSave="{AEF9CDF1-C600-4EF1-81EC-9A97E6E6E0D0}"/>
  <bookViews>
    <workbookView xWindow="-28920" yWindow="-4725" windowWidth="29040" windowHeight="15720" activeTab="8" xr2:uid="{DEC41CC6-749F-498E-9B9D-D686F16FE2E9}"/>
  </bookViews>
  <sheets>
    <sheet name="Inputs" sheetId="1" r:id="rId1"/>
    <sheet name="Week 1" sheetId="3" r:id="rId2"/>
    <sheet name="Week 2" sheetId="4" r:id="rId3"/>
    <sheet name="Week 3" sheetId="5" r:id="rId4"/>
    <sheet name="Week 4" sheetId="6" r:id="rId5"/>
    <sheet name="Week 5" sheetId="7" r:id="rId6"/>
    <sheet name="Week 6" sheetId="8" r:id="rId7"/>
    <sheet name="All Data" sheetId="9" r:id="rId8"/>
    <sheet name="code" sheetId="10" r:id="rId9"/>
  </sheets>
  <functionGroups builtInGroupCount="19"/>
  <definedNames>
    <definedName name="_xleta.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10" l="1"/>
  <c r="D27" i="10"/>
  <c r="D21" i="10"/>
  <c r="D18" i="10"/>
  <c r="D13" i="10"/>
  <c r="F649" i="10"/>
  <c r="F612" i="10"/>
  <c r="F585" i="10"/>
  <c r="F558" i="10"/>
  <c r="F521" i="10"/>
  <c r="F481" i="10"/>
  <c r="F461" i="10"/>
  <c r="F421" i="10"/>
  <c r="F418" i="10"/>
  <c r="F415" i="10"/>
  <c r="F362" i="10"/>
  <c r="F359" i="10"/>
  <c r="F330" i="10"/>
  <c r="F249" i="10"/>
  <c r="F246" i="10"/>
  <c r="F214" i="10"/>
  <c r="F178" i="10"/>
  <c r="F131" i="10"/>
  <c r="F106" i="10"/>
  <c r="F651" i="10"/>
  <c r="F661" i="10"/>
  <c r="F657" i="10"/>
  <c r="F614" i="10"/>
  <c r="F648" i="10"/>
  <c r="F640" i="10"/>
  <c r="F632" i="10"/>
  <c r="F624" i="10"/>
  <c r="F611" i="10"/>
  <c r="F604" i="10"/>
  <c r="F599" i="10"/>
  <c r="F587" i="10"/>
  <c r="F594" i="10"/>
  <c r="F584" i="10"/>
  <c r="F560" i="10"/>
  <c r="F579" i="10"/>
  <c r="F575" i="10"/>
  <c r="F570" i="10"/>
  <c r="F565" i="10"/>
  <c r="F540" i="10"/>
  <c r="F557" i="10"/>
  <c r="F549" i="10"/>
  <c r="F545" i="10"/>
  <c r="F523" i="10"/>
  <c r="F534" i="10"/>
  <c r="F528" i="10"/>
  <c r="F483" i="10"/>
  <c r="F520" i="10"/>
  <c r="F513" i="10"/>
  <c r="F505" i="10"/>
  <c r="F498" i="10"/>
  <c r="F491" i="10"/>
  <c r="F463" i="10"/>
  <c r="F480" i="10"/>
  <c r="F477" i="10"/>
  <c r="F473" i="10"/>
  <c r="F469" i="10"/>
  <c r="F423" i="10"/>
  <c r="F460" i="10"/>
  <c r="F450" i="10"/>
  <c r="F443" i="10"/>
  <c r="F436" i="10"/>
  <c r="F429" i="10"/>
  <c r="F420" i="10"/>
  <c r="F417" i="10"/>
  <c r="F414" i="10"/>
  <c r="F391" i="10"/>
  <c r="F411" i="10"/>
  <c r="F404" i="10"/>
  <c r="F397" i="10"/>
  <c r="F364" i="10"/>
  <c r="F384" i="10"/>
  <c r="F373" i="10"/>
  <c r="F332" i="10"/>
  <c r="F361" i="10"/>
  <c r="F358" i="10"/>
  <c r="F352" i="10"/>
  <c r="F342" i="10"/>
  <c r="F337" i="10"/>
  <c r="F294" i="10"/>
  <c r="F329" i="10"/>
  <c r="F324" i="10"/>
  <c r="F317" i="10"/>
  <c r="F309" i="10"/>
  <c r="F300" i="10"/>
  <c r="F280" i="10"/>
  <c r="F272" i="10"/>
  <c r="F266" i="10"/>
  <c r="F251" i="10"/>
  <c r="F260" i="10"/>
  <c r="F248" i="10"/>
  <c r="F245" i="10"/>
  <c r="F236" i="10"/>
  <c r="F231" i="10"/>
  <c r="F216" i="10"/>
  <c r="F224" i="10"/>
  <c r="F213" i="10"/>
  <c r="F206" i="10"/>
  <c r="F202" i="10"/>
  <c r="F194" i="10"/>
  <c r="F186" i="10"/>
  <c r="F180" i="10"/>
  <c r="F177" i="10"/>
  <c r="F169" i="10"/>
  <c r="F166" i="10"/>
  <c r="F162" i="10"/>
  <c r="F155" i="10"/>
  <c r="F158" i="10"/>
  <c r="F156" i="10"/>
  <c r="F151" i="10"/>
  <c r="F146" i="10"/>
  <c r="F133" i="10"/>
  <c r="F139" i="10"/>
  <c r="F130" i="10"/>
  <c r="F126" i="10"/>
  <c r="F120" i="10"/>
  <c r="F113" i="10"/>
  <c r="F108" i="10"/>
  <c r="D249" i="10"/>
  <c r="D214" i="10"/>
  <c r="D178" i="10"/>
  <c r="F105" i="10"/>
  <c r="F102" i="10"/>
  <c r="F95" i="10"/>
  <c r="F89" i="10"/>
  <c r="F84" i="10"/>
  <c r="F79" i="10"/>
  <c r="D14" i="10"/>
  <c r="D15" i="10"/>
  <c r="D16" i="10"/>
  <c r="D17" i="10"/>
  <c r="D19" i="10"/>
  <c r="D20" i="10"/>
  <c r="D22" i="10"/>
  <c r="D23" i="10"/>
  <c r="D24" i="10"/>
  <c r="D25" i="10"/>
  <c r="D26" i="10"/>
  <c r="D28" i="10"/>
  <c r="D29" i="10"/>
  <c r="D30" i="10"/>
  <c r="D31" i="10"/>
  <c r="D33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70" i="10"/>
  <c r="D71" i="10"/>
  <c r="D72" i="10"/>
  <c r="D73" i="10"/>
  <c r="D74" i="10"/>
  <c r="D75" i="10"/>
  <c r="D76" i="10"/>
  <c r="D77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5" i="10"/>
  <c r="D156" i="10"/>
  <c r="D157" i="10"/>
  <c r="D158" i="10"/>
  <c r="D159" i="10"/>
  <c r="D160" i="10"/>
  <c r="D161" i="10"/>
  <c r="D162" i="10"/>
  <c r="D163" i="10"/>
  <c r="D164" i="10"/>
  <c r="D165" i="10"/>
  <c r="D166" i="10"/>
  <c r="D167" i="10"/>
  <c r="D168" i="10"/>
  <c r="D169" i="10"/>
  <c r="D170" i="10"/>
  <c r="D171" i="10"/>
  <c r="D172" i="10"/>
  <c r="D173" i="10"/>
  <c r="D174" i="10"/>
  <c r="D175" i="10"/>
  <c r="D176" i="10"/>
  <c r="D177" i="10"/>
  <c r="D180" i="10"/>
  <c r="D181" i="10"/>
  <c r="D182" i="10"/>
  <c r="D183" i="10"/>
  <c r="D184" i="10"/>
  <c r="D185" i="10"/>
  <c r="D186" i="10"/>
  <c r="D187" i="10"/>
  <c r="D188" i="10"/>
  <c r="D189" i="10"/>
  <c r="D190" i="10"/>
  <c r="D191" i="10"/>
  <c r="D192" i="10"/>
  <c r="D193" i="10"/>
  <c r="D194" i="10"/>
  <c r="D195" i="10"/>
  <c r="D196" i="10"/>
  <c r="D197" i="10"/>
  <c r="D198" i="10"/>
  <c r="D199" i="10"/>
  <c r="D200" i="10"/>
  <c r="D201" i="10"/>
  <c r="D202" i="10"/>
  <c r="D203" i="10"/>
  <c r="D204" i="10"/>
  <c r="D205" i="10"/>
  <c r="D206" i="10"/>
  <c r="D207" i="10"/>
  <c r="D208" i="10"/>
  <c r="D209" i="10"/>
  <c r="D210" i="10"/>
  <c r="D211" i="10"/>
  <c r="D212" i="10"/>
  <c r="D213" i="10"/>
  <c r="D216" i="10"/>
  <c r="D217" i="10"/>
  <c r="D218" i="10"/>
  <c r="D219" i="10"/>
  <c r="D220" i="10"/>
  <c r="D221" i="10"/>
  <c r="D222" i="10"/>
  <c r="D223" i="10"/>
  <c r="D224" i="10"/>
  <c r="D225" i="10"/>
  <c r="D226" i="10"/>
  <c r="D227" i="10"/>
  <c r="D228" i="10"/>
  <c r="D229" i="10"/>
  <c r="D230" i="10"/>
  <c r="D231" i="10"/>
  <c r="D232" i="10"/>
  <c r="D233" i="10"/>
  <c r="D234" i="10"/>
  <c r="D235" i="10"/>
  <c r="D236" i="10"/>
  <c r="D237" i="10"/>
  <c r="D238" i="10"/>
  <c r="D239" i="10"/>
  <c r="D240" i="10"/>
  <c r="D241" i="10"/>
  <c r="D242" i="10"/>
  <c r="D243" i="10"/>
  <c r="D244" i="10"/>
  <c r="D245" i="10"/>
  <c r="D246" i="10"/>
  <c r="D247" i="10"/>
  <c r="D248" i="10"/>
  <c r="D251" i="10"/>
  <c r="D252" i="10"/>
  <c r="D253" i="10"/>
  <c r="D254" i="10"/>
  <c r="D255" i="10"/>
  <c r="D256" i="10"/>
  <c r="D257" i="10"/>
  <c r="D258" i="10"/>
  <c r="D259" i="10"/>
  <c r="D260" i="10"/>
  <c r="D261" i="10"/>
  <c r="D262" i="10"/>
  <c r="D263" i="10"/>
  <c r="D264" i="10"/>
  <c r="D265" i="10"/>
  <c r="D266" i="10"/>
  <c r="D267" i="10"/>
  <c r="D268" i="10"/>
  <c r="D269" i="10"/>
  <c r="D270" i="10"/>
  <c r="D271" i="10"/>
  <c r="D272" i="10"/>
  <c r="D273" i="10"/>
  <c r="D274" i="10"/>
  <c r="D275" i="10"/>
  <c r="D276" i="10"/>
  <c r="D277" i="10"/>
  <c r="D278" i="10"/>
  <c r="D279" i="10"/>
  <c r="D280" i="10"/>
  <c r="D281" i="10"/>
  <c r="D282" i="10"/>
  <c r="D283" i="10"/>
  <c r="D284" i="10"/>
  <c r="D285" i="10"/>
  <c r="D286" i="10"/>
  <c r="D287" i="10"/>
  <c r="D288" i="10"/>
  <c r="D289" i="10"/>
  <c r="D290" i="10"/>
  <c r="D291" i="10"/>
  <c r="D292" i="10"/>
  <c r="D294" i="10"/>
  <c r="D295" i="10"/>
  <c r="D296" i="10"/>
  <c r="D297" i="10"/>
  <c r="D298" i="10"/>
  <c r="D299" i="10"/>
  <c r="D300" i="10"/>
  <c r="D301" i="10"/>
  <c r="D302" i="10"/>
  <c r="D303" i="10"/>
  <c r="D304" i="10"/>
  <c r="D305" i="10"/>
  <c r="D306" i="10"/>
  <c r="D307" i="10"/>
  <c r="D308" i="10"/>
  <c r="D309" i="10"/>
  <c r="D310" i="10"/>
  <c r="D311" i="10"/>
  <c r="D312" i="10"/>
  <c r="D313" i="10"/>
  <c r="D314" i="10"/>
  <c r="D315" i="10"/>
  <c r="D316" i="10"/>
  <c r="D317" i="10"/>
  <c r="D318" i="10"/>
  <c r="D319" i="10"/>
  <c r="D320" i="10"/>
  <c r="D321" i="10"/>
  <c r="D322" i="10"/>
  <c r="D323" i="10"/>
  <c r="D324" i="10"/>
  <c r="D325" i="10"/>
  <c r="D326" i="10"/>
  <c r="D327" i="10"/>
  <c r="D328" i="10"/>
  <c r="D329" i="10"/>
  <c r="D330" i="10"/>
  <c r="D332" i="10"/>
  <c r="D333" i="10"/>
  <c r="D334" i="10"/>
  <c r="D335" i="10"/>
  <c r="D336" i="10"/>
  <c r="D337" i="10"/>
  <c r="D338" i="10"/>
  <c r="D339" i="10"/>
  <c r="D340" i="10"/>
  <c r="D341" i="10"/>
  <c r="D342" i="10"/>
  <c r="D343" i="10"/>
  <c r="D344" i="10"/>
  <c r="D345" i="10"/>
  <c r="D346" i="10"/>
  <c r="D347" i="10"/>
  <c r="D348" i="10"/>
  <c r="D349" i="10"/>
  <c r="D350" i="10"/>
  <c r="D351" i="10"/>
  <c r="D352" i="10"/>
  <c r="D353" i="10"/>
  <c r="D354" i="10"/>
  <c r="D355" i="10"/>
  <c r="D356" i="10"/>
  <c r="D357" i="10"/>
  <c r="D358" i="10"/>
  <c r="D359" i="10"/>
  <c r="D360" i="10"/>
  <c r="D361" i="10"/>
  <c r="D362" i="10"/>
  <c r="D364" i="10"/>
  <c r="D365" i="10"/>
  <c r="D366" i="10"/>
  <c r="D367" i="10"/>
  <c r="D368" i="10"/>
  <c r="D369" i="10"/>
  <c r="D370" i="10"/>
  <c r="D371" i="10"/>
  <c r="D372" i="10"/>
  <c r="D373" i="10"/>
  <c r="D374" i="10"/>
  <c r="D375" i="10"/>
  <c r="D376" i="10"/>
  <c r="D377" i="10"/>
  <c r="D378" i="10"/>
  <c r="D379" i="10"/>
  <c r="D380" i="10"/>
  <c r="D381" i="10"/>
  <c r="D382" i="10"/>
  <c r="D383" i="10"/>
  <c r="D384" i="10"/>
  <c r="D385" i="10"/>
  <c r="D386" i="10"/>
  <c r="D387" i="10"/>
  <c r="D388" i="10"/>
  <c r="D389" i="10"/>
  <c r="D391" i="10"/>
  <c r="D392" i="10"/>
  <c r="D393" i="10"/>
  <c r="D394" i="10"/>
  <c r="D395" i="10"/>
  <c r="D396" i="10"/>
  <c r="D397" i="10"/>
  <c r="D398" i="10"/>
  <c r="D399" i="10"/>
  <c r="D400" i="10"/>
  <c r="D401" i="10"/>
  <c r="D402" i="10"/>
  <c r="D403" i="10"/>
  <c r="D404" i="10"/>
  <c r="D405" i="10"/>
  <c r="D406" i="10"/>
  <c r="D407" i="10"/>
  <c r="D408" i="10"/>
  <c r="D409" i="10"/>
  <c r="D410" i="10"/>
  <c r="D411" i="10"/>
  <c r="D412" i="10"/>
  <c r="D413" i="10"/>
  <c r="D414" i="10"/>
  <c r="D415" i="10"/>
  <c r="D416" i="10"/>
  <c r="D417" i="10"/>
  <c r="D418" i="10"/>
  <c r="D419" i="10"/>
  <c r="D420" i="10"/>
  <c r="D421" i="10"/>
  <c r="D423" i="10"/>
  <c r="D424" i="10"/>
  <c r="D425" i="10"/>
  <c r="D426" i="10"/>
  <c r="D427" i="10"/>
  <c r="D428" i="10"/>
  <c r="D429" i="10"/>
  <c r="D430" i="10"/>
  <c r="D431" i="10"/>
  <c r="D432" i="10"/>
  <c r="D433" i="10"/>
  <c r="D434" i="10"/>
  <c r="D435" i="10"/>
  <c r="D436" i="10"/>
  <c r="D437" i="10"/>
  <c r="D438" i="10"/>
  <c r="D439" i="10"/>
  <c r="D440" i="10"/>
  <c r="D441" i="10"/>
  <c r="D442" i="10"/>
  <c r="D443" i="10"/>
  <c r="D444" i="10"/>
  <c r="D445" i="10"/>
  <c r="D446" i="10"/>
  <c r="D447" i="10"/>
  <c r="D448" i="10"/>
  <c r="D449" i="10"/>
  <c r="D450" i="10"/>
  <c r="D451" i="10"/>
  <c r="D452" i="10"/>
  <c r="D453" i="10"/>
  <c r="D454" i="10"/>
  <c r="D455" i="10"/>
  <c r="D456" i="10"/>
  <c r="D457" i="10"/>
  <c r="D458" i="10"/>
  <c r="D459" i="10"/>
  <c r="D460" i="10"/>
  <c r="D461" i="10"/>
  <c r="D463" i="10"/>
  <c r="D464" i="10"/>
  <c r="D465" i="10"/>
  <c r="D466" i="10"/>
  <c r="D467" i="10"/>
  <c r="D468" i="10"/>
  <c r="D469" i="10"/>
  <c r="D470" i="10"/>
  <c r="D471" i="10"/>
  <c r="D472" i="10"/>
  <c r="D473" i="10"/>
  <c r="D474" i="10"/>
  <c r="D475" i="10"/>
  <c r="D476" i="10"/>
  <c r="D477" i="10"/>
  <c r="D478" i="10"/>
  <c r="D479" i="10"/>
  <c r="D480" i="10"/>
  <c r="D481" i="10"/>
  <c r="D483" i="10"/>
  <c r="D484" i="10"/>
  <c r="D485" i="10"/>
  <c r="D486" i="10"/>
  <c r="D487" i="10"/>
  <c r="D488" i="10"/>
  <c r="D489" i="10"/>
  <c r="D490" i="10"/>
  <c r="D491" i="10"/>
  <c r="D492" i="10"/>
  <c r="D493" i="10"/>
  <c r="D494" i="10"/>
  <c r="D495" i="10"/>
  <c r="D496" i="10"/>
  <c r="D497" i="10"/>
  <c r="D498" i="10"/>
  <c r="D499" i="10"/>
  <c r="D500" i="10"/>
  <c r="D501" i="10"/>
  <c r="D502" i="10"/>
  <c r="D503" i="10"/>
  <c r="D504" i="10"/>
  <c r="D505" i="10"/>
  <c r="D506" i="10"/>
  <c r="D507" i="10"/>
  <c r="D508" i="10"/>
  <c r="D509" i="10"/>
  <c r="D510" i="10"/>
  <c r="D511" i="10"/>
  <c r="D512" i="10"/>
  <c r="D513" i="10"/>
  <c r="D514" i="10"/>
  <c r="D515" i="10"/>
  <c r="D516" i="10"/>
  <c r="D517" i="10"/>
  <c r="D518" i="10"/>
  <c r="D519" i="10"/>
  <c r="D520" i="10"/>
  <c r="D521" i="10"/>
  <c r="D523" i="10"/>
  <c r="D524" i="10"/>
  <c r="D525" i="10"/>
  <c r="D526" i="10"/>
  <c r="D527" i="10"/>
  <c r="D528" i="10"/>
  <c r="D529" i="10"/>
  <c r="D530" i="10"/>
  <c r="D531" i="10"/>
  <c r="D532" i="10"/>
  <c r="D533" i="10"/>
  <c r="D534" i="10"/>
  <c r="D535" i="10"/>
  <c r="D536" i="10"/>
  <c r="D537" i="10"/>
  <c r="D538" i="10"/>
  <c r="D540" i="10"/>
  <c r="D541" i="10"/>
  <c r="D542" i="10"/>
  <c r="D543" i="10"/>
  <c r="D544" i="10"/>
  <c r="D545" i="10"/>
  <c r="D546" i="10"/>
  <c r="D547" i="10"/>
  <c r="D548" i="10"/>
  <c r="D549" i="10"/>
  <c r="D550" i="10"/>
  <c r="D551" i="10"/>
  <c r="D552" i="10"/>
  <c r="D553" i="10"/>
  <c r="D554" i="10"/>
  <c r="D555" i="10"/>
  <c r="D556" i="10"/>
  <c r="D557" i="10"/>
  <c r="D558" i="10"/>
  <c r="D560" i="10"/>
  <c r="D561" i="10"/>
  <c r="D562" i="10"/>
  <c r="D563" i="10"/>
  <c r="D564" i="10"/>
  <c r="D565" i="10"/>
  <c r="D566" i="10"/>
  <c r="D567" i="10"/>
  <c r="D568" i="10"/>
  <c r="D569" i="10"/>
  <c r="D570" i="10"/>
  <c r="D571" i="10"/>
  <c r="D572" i="10"/>
  <c r="D573" i="10"/>
  <c r="D574" i="10"/>
  <c r="D575" i="10"/>
  <c r="D576" i="10"/>
  <c r="D577" i="10"/>
  <c r="D578" i="10"/>
  <c r="D579" i="10"/>
  <c r="D580" i="10"/>
  <c r="D581" i="10"/>
  <c r="D582" i="10"/>
  <c r="D583" i="10"/>
  <c r="D584" i="10"/>
  <c r="D585" i="10"/>
  <c r="D587" i="10"/>
  <c r="D588" i="10"/>
  <c r="D589" i="10"/>
  <c r="D590" i="10"/>
  <c r="D591" i="10"/>
  <c r="D592" i="10"/>
  <c r="D593" i="10"/>
  <c r="D594" i="10"/>
  <c r="D595" i="10"/>
  <c r="D596" i="10"/>
  <c r="D597" i="10"/>
  <c r="D598" i="10"/>
  <c r="D599" i="10"/>
  <c r="D600" i="10"/>
  <c r="D601" i="10"/>
  <c r="D602" i="10"/>
  <c r="D603" i="10"/>
  <c r="D604" i="10"/>
  <c r="D605" i="10"/>
  <c r="D606" i="10"/>
  <c r="D607" i="10"/>
  <c r="D608" i="10"/>
  <c r="D609" i="10"/>
  <c r="D610" i="10"/>
  <c r="D611" i="10"/>
  <c r="D612" i="10"/>
  <c r="D614" i="10"/>
  <c r="D615" i="10"/>
  <c r="D616" i="10"/>
  <c r="D617" i="10"/>
  <c r="D618" i="10"/>
  <c r="D619" i="10"/>
  <c r="D620" i="10"/>
  <c r="D621" i="10"/>
  <c r="D622" i="10"/>
  <c r="D623" i="10"/>
  <c r="D624" i="10"/>
  <c r="D625" i="10"/>
  <c r="D626" i="10"/>
  <c r="D627" i="10"/>
  <c r="D628" i="10"/>
  <c r="D629" i="10"/>
  <c r="D630" i="10"/>
  <c r="D631" i="10"/>
  <c r="D632" i="10"/>
  <c r="D633" i="10"/>
  <c r="D634" i="10"/>
  <c r="D635" i="10"/>
  <c r="D636" i="10"/>
  <c r="D637" i="10"/>
  <c r="D638" i="10"/>
  <c r="D639" i="10"/>
  <c r="D640" i="10"/>
  <c r="D641" i="10"/>
  <c r="D642" i="10"/>
  <c r="D643" i="10"/>
  <c r="D644" i="10"/>
  <c r="D645" i="10"/>
  <c r="D646" i="10"/>
  <c r="D647" i="10"/>
  <c r="D648" i="10"/>
  <c r="D649" i="10"/>
  <c r="D651" i="10"/>
  <c r="D652" i="10"/>
  <c r="D653" i="10"/>
  <c r="D654" i="10"/>
  <c r="D655" i="10"/>
  <c r="D656" i="10"/>
  <c r="D657" i="10"/>
  <c r="D658" i="10"/>
  <c r="D659" i="10"/>
  <c r="D660" i="10"/>
  <c r="D661" i="10"/>
  <c r="D662" i="10"/>
  <c r="D663" i="10"/>
  <c r="F32" i="10"/>
  <c r="F27" i="10"/>
  <c r="F21" i="10"/>
  <c r="F18" i="10"/>
  <c r="F13" i="10"/>
  <c r="F70" i="10"/>
  <c r="F73" i="10"/>
  <c r="F76" i="10"/>
  <c r="F67" i="10"/>
  <c r="F63" i="10"/>
  <c r="F59" i="10"/>
  <c r="F56" i="10"/>
  <c r="F52" i="10"/>
  <c r="F49" i="10"/>
  <c r="F45" i="10"/>
  <c r="F41" i="10"/>
  <c r="F38" i="10"/>
  <c r="F35" i="10"/>
  <c r="C646" i="10"/>
  <c r="C645" i="10"/>
  <c r="C644" i="10"/>
  <c r="C643" i="10"/>
  <c r="C642" i="10"/>
  <c r="C641" i="10"/>
  <c r="C638" i="10"/>
  <c r="C637" i="10"/>
  <c r="C636" i="10"/>
  <c r="C609" i="10"/>
  <c r="C582" i="10"/>
  <c r="C635" i="10"/>
  <c r="C608" i="10"/>
  <c r="C581" i="10"/>
  <c r="C634" i="10"/>
  <c r="C607" i="10"/>
  <c r="C580" i="10"/>
  <c r="C633" i="10"/>
  <c r="C606" i="10"/>
  <c r="C605" i="10"/>
  <c r="C577" i="10"/>
  <c r="C630" i="10"/>
  <c r="C576" i="10"/>
  <c r="C629" i="10"/>
  <c r="C602" i="10"/>
  <c r="C628" i="10"/>
  <c r="C601" i="10"/>
  <c r="C627" i="10"/>
  <c r="C600" i="10"/>
  <c r="C573" i="10"/>
  <c r="C663" i="10"/>
  <c r="C626" i="10"/>
  <c r="C572" i="10"/>
  <c r="C662" i="10"/>
  <c r="C625" i="10"/>
  <c r="C571" i="10"/>
  <c r="C597" i="10"/>
  <c r="C596" i="10"/>
  <c r="C659" i="10"/>
  <c r="C622" i="10"/>
  <c r="C595" i="10"/>
  <c r="C568" i="10"/>
  <c r="C658" i="10"/>
  <c r="C621" i="10"/>
  <c r="C567" i="10"/>
  <c r="C620" i="10"/>
  <c r="C566" i="10"/>
  <c r="C619" i="10"/>
  <c r="C592" i="10"/>
  <c r="C655" i="10"/>
  <c r="C618" i="10"/>
  <c r="C591" i="10"/>
  <c r="C654" i="10"/>
  <c r="C617" i="10"/>
  <c r="C590" i="10"/>
  <c r="C563" i="10"/>
  <c r="C653" i="10"/>
  <c r="C616" i="10"/>
  <c r="C589" i="10"/>
  <c r="C562" i="10"/>
  <c r="C652" i="10"/>
  <c r="C615" i="10"/>
  <c r="C588" i="10"/>
  <c r="C561" i="10"/>
  <c r="C518" i="10"/>
  <c r="C517" i="10"/>
  <c r="C516" i="10"/>
  <c r="C515" i="10"/>
  <c r="C514" i="10"/>
  <c r="C511" i="10"/>
  <c r="C510" i="10"/>
  <c r="C509" i="10"/>
  <c r="C508" i="10"/>
  <c r="C507" i="10"/>
  <c r="C506" i="10"/>
  <c r="C503" i="10"/>
  <c r="C502" i="10"/>
  <c r="C501" i="10"/>
  <c r="C500" i="10"/>
  <c r="C499" i="10"/>
  <c r="C555" i="10"/>
  <c r="C538" i="10"/>
  <c r="C478" i="10"/>
  <c r="C554" i="10"/>
  <c r="C537" i="10"/>
  <c r="C553" i="10"/>
  <c r="C536" i="10"/>
  <c r="C496" i="10"/>
  <c r="C552" i="10"/>
  <c r="C535" i="10"/>
  <c r="C495" i="10"/>
  <c r="C475" i="10"/>
  <c r="C551" i="10"/>
  <c r="C494" i="10"/>
  <c r="C474" i="10"/>
  <c r="C550" i="10"/>
  <c r="C493" i="10"/>
  <c r="C532" i="10"/>
  <c r="C492" i="10"/>
  <c r="C531" i="10"/>
  <c r="C471" i="10"/>
  <c r="C547" i="10"/>
  <c r="C530" i="10"/>
  <c r="C470" i="10"/>
  <c r="C546" i="10"/>
  <c r="C529" i="10"/>
  <c r="C489" i="10"/>
  <c r="C488" i="10"/>
  <c r="C487" i="10"/>
  <c r="C467" i="10"/>
  <c r="C543" i="10"/>
  <c r="C526" i="10"/>
  <c r="C486" i="10"/>
  <c r="C466" i="10"/>
  <c r="C542" i="10"/>
  <c r="C525" i="10"/>
  <c r="C485" i="10"/>
  <c r="C465" i="10"/>
  <c r="C541" i="10"/>
  <c r="C524" i="10"/>
  <c r="C484" i="10"/>
  <c r="C464" i="10"/>
  <c r="C458" i="10"/>
  <c r="C457" i="10"/>
  <c r="C456" i="10"/>
  <c r="C455" i="10"/>
  <c r="C454" i="10"/>
  <c r="C453" i="10"/>
  <c r="C452" i="10"/>
  <c r="C451" i="10"/>
  <c r="C356" i="10"/>
  <c r="C448" i="10"/>
  <c r="C389" i="10"/>
  <c r="C355" i="10"/>
  <c r="C447" i="10"/>
  <c r="C388" i="10"/>
  <c r="C354" i="10"/>
  <c r="C446" i="10"/>
  <c r="C387" i="10"/>
  <c r="C353" i="10"/>
  <c r="C445" i="10"/>
  <c r="C386" i="10"/>
  <c r="C444" i="10"/>
  <c r="C412" i="10"/>
  <c r="C385" i="10"/>
  <c r="C441" i="10"/>
  <c r="C409" i="10"/>
  <c r="C382" i="10"/>
  <c r="C350" i="10"/>
  <c r="C440" i="10"/>
  <c r="C408" i="10"/>
  <c r="C381" i="10"/>
  <c r="C349" i="10"/>
  <c r="C439" i="10"/>
  <c r="C407" i="10"/>
  <c r="C380" i="10"/>
  <c r="C348" i="10"/>
  <c r="C438" i="10"/>
  <c r="C406" i="10"/>
  <c r="C379" i="10"/>
  <c r="C347" i="10"/>
  <c r="C437" i="10"/>
  <c r="C405" i="10"/>
  <c r="C378" i="10"/>
  <c r="C346" i="10"/>
  <c r="C377" i="10"/>
  <c r="C345" i="10"/>
  <c r="C376" i="10"/>
  <c r="C344" i="10"/>
  <c r="C434" i="10"/>
  <c r="C402" i="10"/>
  <c r="C375" i="10"/>
  <c r="C343" i="10"/>
  <c r="C433" i="10"/>
  <c r="C401" i="10"/>
  <c r="C374" i="10"/>
  <c r="C432" i="10"/>
  <c r="C400" i="10"/>
  <c r="C431" i="10"/>
  <c r="C399" i="10"/>
  <c r="C340" i="10"/>
  <c r="C430" i="10"/>
  <c r="C398" i="10"/>
  <c r="C371" i="10"/>
  <c r="C339" i="10"/>
  <c r="C370" i="10"/>
  <c r="C338" i="10"/>
  <c r="C369" i="10"/>
  <c r="C427" i="10"/>
  <c r="C395" i="10"/>
  <c r="C368" i="10"/>
  <c r="C426" i="10"/>
  <c r="C394" i="10"/>
  <c r="C367" i="10"/>
  <c r="C335" i="10"/>
  <c r="C425" i="10"/>
  <c r="C393" i="10"/>
  <c r="C366" i="10"/>
  <c r="C334" i="10"/>
  <c r="C424" i="10"/>
  <c r="C392" i="10"/>
  <c r="C365" i="10"/>
  <c r="C333" i="10"/>
  <c r="C292" i="10"/>
  <c r="C291" i="10"/>
  <c r="C290" i="10"/>
  <c r="C289" i="10"/>
  <c r="C288" i="10"/>
  <c r="C287" i="10"/>
  <c r="C286" i="10"/>
  <c r="C285" i="10"/>
  <c r="C327" i="10"/>
  <c r="C284" i="10"/>
  <c r="C326" i="10"/>
  <c r="C283" i="10"/>
  <c r="C325" i="10"/>
  <c r="C282" i="10"/>
  <c r="C211" i="10"/>
  <c r="C281" i="10"/>
  <c r="C210" i="10"/>
  <c r="C209" i="10"/>
  <c r="C322" i="10"/>
  <c r="C208" i="10"/>
  <c r="C321" i="10"/>
  <c r="C278" i="10"/>
  <c r="C243" i="10"/>
  <c r="C207" i="10"/>
  <c r="C320" i="10"/>
  <c r="C277" i="10"/>
  <c r="C242" i="10"/>
  <c r="C319" i="10"/>
  <c r="C276" i="10"/>
  <c r="C241" i="10"/>
  <c r="C318" i="10"/>
  <c r="C275" i="10"/>
  <c r="C240" i="10"/>
  <c r="C204" i="10"/>
  <c r="C274" i="10"/>
  <c r="C239" i="10"/>
  <c r="C203" i="10"/>
  <c r="C273" i="10"/>
  <c r="C238" i="10"/>
  <c r="C315" i="10"/>
  <c r="C237" i="10"/>
  <c r="C314" i="10"/>
  <c r="C200" i="10"/>
  <c r="C313" i="10"/>
  <c r="C270" i="10"/>
  <c r="C199" i="10"/>
  <c r="C312" i="10"/>
  <c r="C269" i="10"/>
  <c r="C234" i="10"/>
  <c r="C198" i="10"/>
  <c r="C311" i="10"/>
  <c r="C268" i="10"/>
  <c r="C233" i="10"/>
  <c r="C197" i="10"/>
  <c r="C310" i="10"/>
  <c r="C267" i="10"/>
  <c r="C232" i="10"/>
  <c r="C196" i="10"/>
  <c r="C195" i="10"/>
  <c r="C307" i="10"/>
  <c r="C264" i="10"/>
  <c r="C229" i="10"/>
  <c r="C306" i="10"/>
  <c r="C263" i="10"/>
  <c r="C228" i="10"/>
  <c r="C192" i="10"/>
  <c r="C305" i="10"/>
  <c r="C262" i="10"/>
  <c r="C227" i="10"/>
  <c r="C191" i="10"/>
  <c r="C304" i="10"/>
  <c r="C261" i="10"/>
  <c r="C226" i="10"/>
  <c r="C190" i="10"/>
  <c r="C303" i="10"/>
  <c r="C225" i="10"/>
  <c r="C189" i="10"/>
  <c r="C302" i="10"/>
  <c r="C188" i="10"/>
  <c r="C301" i="10"/>
  <c r="C258" i="10"/>
  <c r="C187" i="10"/>
  <c r="C257" i="10"/>
  <c r="C222" i="10"/>
  <c r="C256" i="10"/>
  <c r="C221" i="10"/>
  <c r="C298" i="10"/>
  <c r="C255" i="10"/>
  <c r="C220" i="10"/>
  <c r="C184" i="10"/>
  <c r="C297" i="10"/>
  <c r="C254" i="10"/>
  <c r="C219" i="10"/>
  <c r="C183" i="10"/>
  <c r="C296" i="10"/>
  <c r="C253" i="10"/>
  <c r="C218" i="10"/>
  <c r="C182" i="10"/>
  <c r="C295" i="10"/>
  <c r="C252" i="10"/>
  <c r="C217" i="10"/>
  <c r="C181" i="10"/>
  <c r="C103" i="10"/>
  <c r="C175" i="10"/>
  <c r="C100" i="10"/>
  <c r="C174" i="10"/>
  <c r="C153" i="10"/>
  <c r="C128" i="10"/>
  <c r="C99" i="10"/>
  <c r="C173" i="10"/>
  <c r="C152" i="10"/>
  <c r="C127" i="10"/>
  <c r="C98" i="10"/>
  <c r="C172" i="10"/>
  <c r="C97" i="10"/>
  <c r="C171" i="10"/>
  <c r="C96" i="10"/>
  <c r="C170" i="10"/>
  <c r="C149" i="10"/>
  <c r="C124" i="10"/>
  <c r="C148" i="10"/>
  <c r="C123" i="10"/>
  <c r="C147" i="10"/>
  <c r="C122" i="10"/>
  <c r="C93" i="10"/>
  <c r="C167" i="10"/>
  <c r="C121" i="10"/>
  <c r="C92" i="10"/>
  <c r="C91" i="10"/>
  <c r="C144" i="10"/>
  <c r="C90" i="10"/>
  <c r="C164" i="10"/>
  <c r="C143" i="10"/>
  <c r="C118" i="10"/>
  <c r="C163" i="10"/>
  <c r="C142" i="10"/>
  <c r="C117" i="10"/>
  <c r="C141" i="10"/>
  <c r="C116" i="10"/>
  <c r="C87" i="10"/>
  <c r="C140" i="10"/>
  <c r="C115" i="10"/>
  <c r="C86" i="10"/>
  <c r="C160" i="10"/>
  <c r="C114" i="10"/>
  <c r="C85" i="10"/>
  <c r="C159" i="10"/>
  <c r="C137" i="10"/>
  <c r="C136" i="10"/>
  <c r="C111" i="10"/>
  <c r="C82" i="10"/>
  <c r="C135" i="10"/>
  <c r="C110" i="10"/>
  <c r="C81" i="10"/>
  <c r="C134" i="10"/>
  <c r="C109" i="10"/>
  <c r="C80" i="10"/>
  <c r="C33" i="10"/>
  <c r="C30" i="10"/>
  <c r="C68" i="10"/>
  <c r="C29" i="10"/>
  <c r="C50" i="10"/>
  <c r="C28" i="10"/>
  <c r="C65" i="10"/>
  <c r="C64" i="10"/>
  <c r="C47" i="10"/>
  <c r="C25" i="10"/>
  <c r="C46" i="10"/>
  <c r="C24" i="10"/>
  <c r="C23" i="10"/>
  <c r="C61" i="10"/>
  <c r="C22" i="10"/>
  <c r="C60" i="10"/>
  <c r="C43" i="10"/>
  <c r="C77" i="10"/>
  <c r="C42" i="10"/>
  <c r="C19" i="10"/>
  <c r="C57" i="10"/>
  <c r="C74" i="10"/>
  <c r="C39" i="10"/>
  <c r="C16" i="10"/>
  <c r="C54" i="10"/>
  <c r="C15" i="10"/>
  <c r="C71" i="10"/>
  <c r="C53" i="10"/>
  <c r="C36" i="10"/>
  <c r="C14" i="10"/>
  <c r="I228" i="9"/>
  <c r="I227" i="9"/>
  <c r="I226" i="9"/>
  <c r="I225" i="9"/>
  <c r="I224" i="9"/>
  <c r="I223" i="9"/>
  <c r="I220" i="9"/>
  <c r="I219" i="9"/>
  <c r="I218" i="9"/>
  <c r="F218" i="9"/>
  <c r="C218" i="9"/>
  <c r="I217" i="9"/>
  <c r="F217" i="9"/>
  <c r="C217" i="9"/>
  <c r="I216" i="9"/>
  <c r="F216" i="9"/>
  <c r="C216" i="9"/>
  <c r="I215" i="9"/>
  <c r="F215" i="9"/>
  <c r="F214" i="9"/>
  <c r="C213" i="9"/>
  <c r="I212" i="9"/>
  <c r="C212" i="9"/>
  <c r="I211" i="9"/>
  <c r="F211" i="9"/>
  <c r="I210" i="9"/>
  <c r="F210" i="9"/>
  <c r="I209" i="9"/>
  <c r="F209" i="9"/>
  <c r="C209" i="9"/>
  <c r="L208" i="9"/>
  <c r="I208" i="9"/>
  <c r="C208" i="9"/>
  <c r="L207" i="9"/>
  <c r="I207" i="9"/>
  <c r="C207" i="9"/>
  <c r="F206" i="9"/>
  <c r="F205" i="9"/>
  <c r="L204" i="9"/>
  <c r="I204" i="9"/>
  <c r="F204" i="9"/>
  <c r="C204" i="9"/>
  <c r="L203" i="9"/>
  <c r="I203" i="9"/>
  <c r="C203" i="9"/>
  <c r="I202" i="9"/>
  <c r="C202" i="9"/>
  <c r="I201" i="9"/>
  <c r="F201" i="9"/>
  <c r="L200" i="9"/>
  <c r="I200" i="9"/>
  <c r="F200" i="9"/>
  <c r="L199" i="9"/>
  <c r="I199" i="9"/>
  <c r="F199" i="9"/>
  <c r="C199" i="9"/>
  <c r="L198" i="9"/>
  <c r="I198" i="9"/>
  <c r="F198" i="9"/>
  <c r="C198" i="9"/>
  <c r="L197" i="9"/>
  <c r="I197" i="9"/>
  <c r="F197" i="9"/>
  <c r="C197" i="9"/>
  <c r="F189" i="9"/>
  <c r="F188" i="9"/>
  <c r="F187" i="9"/>
  <c r="F186" i="9"/>
  <c r="F185" i="9"/>
  <c r="F182" i="9"/>
  <c r="F181" i="9"/>
  <c r="F180" i="9"/>
  <c r="F179" i="9"/>
  <c r="F178" i="9"/>
  <c r="F177" i="9"/>
  <c r="F174" i="9"/>
  <c r="F173" i="9"/>
  <c r="F172" i="9"/>
  <c r="F171" i="9"/>
  <c r="F170" i="9"/>
  <c r="L169" i="9"/>
  <c r="I169" i="9"/>
  <c r="C169" i="9"/>
  <c r="L168" i="9"/>
  <c r="I168" i="9"/>
  <c r="L167" i="9"/>
  <c r="I167" i="9"/>
  <c r="F167" i="9"/>
  <c r="L166" i="9"/>
  <c r="I166" i="9"/>
  <c r="F166" i="9"/>
  <c r="C166" i="9"/>
  <c r="L165" i="9"/>
  <c r="F165" i="9"/>
  <c r="C165" i="9"/>
  <c r="L164" i="9"/>
  <c r="F164" i="9"/>
  <c r="I163" i="9"/>
  <c r="F163" i="9"/>
  <c r="I162" i="9"/>
  <c r="C162" i="9"/>
  <c r="L161" i="9"/>
  <c r="I161" i="9"/>
  <c r="C161" i="9"/>
  <c r="L160" i="9"/>
  <c r="I160" i="9"/>
  <c r="F160" i="9"/>
  <c r="F159" i="9"/>
  <c r="F158" i="9"/>
  <c r="C158" i="9"/>
  <c r="L157" i="9"/>
  <c r="I157" i="9"/>
  <c r="F157" i="9"/>
  <c r="C157" i="9"/>
  <c r="L156" i="9"/>
  <c r="I156" i="9"/>
  <c r="F156" i="9"/>
  <c r="C156" i="9"/>
  <c r="L155" i="9"/>
  <c r="I155" i="9"/>
  <c r="F155" i="9"/>
  <c r="C155" i="9"/>
  <c r="L147" i="9"/>
  <c r="L146" i="9"/>
  <c r="L145" i="9"/>
  <c r="L144" i="9"/>
  <c r="L143" i="9"/>
  <c r="L142" i="9"/>
  <c r="L141" i="9"/>
  <c r="L140" i="9"/>
  <c r="C138" i="9"/>
  <c r="L137" i="9"/>
  <c r="F137" i="9"/>
  <c r="C137" i="9"/>
  <c r="L136" i="9"/>
  <c r="F136" i="9"/>
  <c r="C136" i="9"/>
  <c r="L135" i="9"/>
  <c r="F135" i="9"/>
  <c r="C135" i="9"/>
  <c r="L134" i="9"/>
  <c r="F134" i="9"/>
  <c r="L133" i="9"/>
  <c r="I133" i="9"/>
  <c r="F133" i="9"/>
  <c r="L130" i="9"/>
  <c r="I130" i="9"/>
  <c r="F130" i="9"/>
  <c r="C130" i="9"/>
  <c r="L129" i="9"/>
  <c r="I129" i="9"/>
  <c r="F129" i="9"/>
  <c r="C129" i="9"/>
  <c r="L128" i="9"/>
  <c r="I128" i="9"/>
  <c r="F128" i="9"/>
  <c r="C128" i="9"/>
  <c r="L127" i="9"/>
  <c r="I127" i="9"/>
  <c r="F127" i="9"/>
  <c r="C127" i="9"/>
  <c r="L126" i="9"/>
  <c r="I126" i="9"/>
  <c r="F126" i="9"/>
  <c r="C126" i="9"/>
  <c r="F125" i="9"/>
  <c r="C125" i="9"/>
  <c r="F124" i="9"/>
  <c r="C124" i="9"/>
  <c r="L123" i="9"/>
  <c r="I123" i="9"/>
  <c r="F123" i="9"/>
  <c r="C123" i="9"/>
  <c r="L122" i="9"/>
  <c r="I122" i="9"/>
  <c r="F122" i="9"/>
  <c r="L121" i="9"/>
  <c r="I121" i="9"/>
  <c r="L120" i="9"/>
  <c r="I120" i="9"/>
  <c r="C120" i="9"/>
  <c r="L119" i="9"/>
  <c r="I119" i="9"/>
  <c r="F119" i="9"/>
  <c r="C119" i="9"/>
  <c r="F118" i="9"/>
  <c r="C118" i="9"/>
  <c r="F117" i="9"/>
  <c r="L116" i="9"/>
  <c r="I116" i="9"/>
  <c r="F116" i="9"/>
  <c r="L115" i="9"/>
  <c r="I115" i="9"/>
  <c r="F115" i="9"/>
  <c r="C115" i="9"/>
  <c r="L114" i="9"/>
  <c r="I114" i="9"/>
  <c r="F114" i="9"/>
  <c r="C114" i="9"/>
  <c r="L113" i="9"/>
  <c r="I113" i="9"/>
  <c r="F113" i="9"/>
  <c r="C113" i="9"/>
  <c r="I109" i="9"/>
  <c r="I108" i="9"/>
  <c r="I107" i="9"/>
  <c r="I106" i="9"/>
  <c r="I105" i="9"/>
  <c r="I104" i="9"/>
  <c r="I103" i="9"/>
  <c r="I102" i="9"/>
  <c r="L101" i="9"/>
  <c r="I101" i="9"/>
  <c r="L100" i="9"/>
  <c r="I100" i="9"/>
  <c r="L99" i="9"/>
  <c r="I99" i="9"/>
  <c r="C99" i="9"/>
  <c r="I98" i="9"/>
  <c r="C98" i="9"/>
  <c r="C97" i="9"/>
  <c r="L96" i="9"/>
  <c r="C96" i="9"/>
  <c r="L95" i="9"/>
  <c r="I95" i="9"/>
  <c r="F95" i="9"/>
  <c r="C95" i="9"/>
  <c r="L94" i="9"/>
  <c r="I94" i="9"/>
  <c r="F94" i="9"/>
  <c r="L93" i="9"/>
  <c r="I93" i="9"/>
  <c r="F93" i="9"/>
  <c r="L92" i="9"/>
  <c r="I92" i="9"/>
  <c r="F92" i="9"/>
  <c r="C92" i="9"/>
  <c r="I91" i="9"/>
  <c r="F91" i="9"/>
  <c r="C91" i="9"/>
  <c r="I90" i="9"/>
  <c r="F90" i="9"/>
  <c r="L89" i="9"/>
  <c r="F89" i="9"/>
  <c r="L88" i="9"/>
  <c r="C88" i="9"/>
  <c r="L87" i="9"/>
  <c r="I87" i="9"/>
  <c r="C87" i="9"/>
  <c r="L86" i="9"/>
  <c r="I86" i="9"/>
  <c r="F86" i="9"/>
  <c r="C86" i="9"/>
  <c r="L85" i="9"/>
  <c r="I85" i="9"/>
  <c r="F85" i="9"/>
  <c r="C85" i="9"/>
  <c r="L84" i="9"/>
  <c r="I84" i="9"/>
  <c r="F84" i="9"/>
  <c r="C84" i="9"/>
  <c r="C83" i="9"/>
  <c r="L81" i="9"/>
  <c r="I81" i="9"/>
  <c r="F81" i="9"/>
  <c r="L80" i="9"/>
  <c r="I80" i="9"/>
  <c r="F80" i="9"/>
  <c r="C80" i="9"/>
  <c r="L79" i="9"/>
  <c r="I79" i="9"/>
  <c r="F79" i="9"/>
  <c r="C79" i="9"/>
  <c r="L78" i="9"/>
  <c r="I78" i="9"/>
  <c r="F78" i="9"/>
  <c r="C78" i="9"/>
  <c r="L77" i="9"/>
  <c r="F77" i="9"/>
  <c r="C77" i="9"/>
  <c r="L76" i="9"/>
  <c r="C76" i="9"/>
  <c r="L75" i="9"/>
  <c r="I75" i="9"/>
  <c r="C75" i="9"/>
  <c r="I74" i="9"/>
  <c r="F74" i="9"/>
  <c r="I73" i="9"/>
  <c r="F73" i="9"/>
  <c r="L72" i="9"/>
  <c r="I72" i="9"/>
  <c r="F72" i="9"/>
  <c r="C72" i="9"/>
  <c r="L71" i="9"/>
  <c r="I71" i="9"/>
  <c r="F71" i="9"/>
  <c r="C71" i="9"/>
  <c r="L70" i="9"/>
  <c r="I70" i="9"/>
  <c r="F70" i="9"/>
  <c r="C70" i="9"/>
  <c r="L69" i="9"/>
  <c r="I69" i="9"/>
  <c r="F69" i="9"/>
  <c r="C69" i="9"/>
  <c r="C60" i="9"/>
  <c r="L57" i="9"/>
  <c r="C57" i="9"/>
  <c r="L56" i="9"/>
  <c r="I56" i="9"/>
  <c r="F56" i="9"/>
  <c r="C56" i="9"/>
  <c r="L55" i="9"/>
  <c r="I55" i="9"/>
  <c r="F55" i="9"/>
  <c r="C55" i="9"/>
  <c r="L54" i="9"/>
  <c r="C54" i="9"/>
  <c r="L53" i="9"/>
  <c r="C53" i="9"/>
  <c r="L52" i="9"/>
  <c r="I52" i="9"/>
  <c r="F52" i="9"/>
  <c r="I51" i="9"/>
  <c r="F51" i="9"/>
  <c r="I50" i="9"/>
  <c r="F50" i="9"/>
  <c r="C50" i="9"/>
  <c r="L49" i="9"/>
  <c r="F49" i="9"/>
  <c r="C49" i="9"/>
  <c r="C48" i="9"/>
  <c r="I47" i="9"/>
  <c r="C47" i="9"/>
  <c r="L46" i="9"/>
  <c r="I46" i="9"/>
  <c r="F46" i="9"/>
  <c r="L45" i="9"/>
  <c r="I45" i="9"/>
  <c r="F45" i="9"/>
  <c r="I44" i="9"/>
  <c r="F44" i="9"/>
  <c r="C44" i="9"/>
  <c r="I43" i="9"/>
  <c r="F43" i="9"/>
  <c r="C43" i="9"/>
  <c r="L42" i="9"/>
  <c r="F42" i="9"/>
  <c r="C42" i="9"/>
  <c r="L41" i="9"/>
  <c r="I40" i="9"/>
  <c r="I39" i="9"/>
  <c r="F39" i="9"/>
  <c r="C39" i="9"/>
  <c r="I38" i="9"/>
  <c r="F38" i="9"/>
  <c r="C38" i="9"/>
  <c r="I37" i="9"/>
  <c r="F37" i="9"/>
  <c r="C37" i="9"/>
  <c r="C33" i="9"/>
  <c r="C30" i="9"/>
  <c r="I29" i="9"/>
  <c r="C29" i="9"/>
  <c r="F28" i="9"/>
  <c r="C28" i="9"/>
  <c r="I26" i="9"/>
  <c r="I25" i="9"/>
  <c r="F25" i="9"/>
  <c r="C25" i="9"/>
  <c r="F24" i="9"/>
  <c r="C24" i="9"/>
  <c r="C23" i="9"/>
  <c r="I22" i="9"/>
  <c r="C22" i="9"/>
  <c r="I21" i="9"/>
  <c r="F21" i="9"/>
  <c r="L20" i="9"/>
  <c r="F20" i="9"/>
  <c r="C19" i="9"/>
  <c r="I18" i="9"/>
  <c r="L17" i="9"/>
  <c r="F17" i="9"/>
  <c r="C16" i="9"/>
  <c r="I15" i="9"/>
  <c r="C15" i="9"/>
  <c r="L14" i="9"/>
  <c r="I14" i="9"/>
  <c r="F14" i="9"/>
  <c r="C14" i="9"/>
  <c r="E178" i="10" a="1"/>
  <c r="E652" i="10" a="1"/>
  <c r="E20" i="10" a="1"/>
  <c r="E28" i="10" a="1"/>
  <c r="E38" i="10" a="1"/>
  <c r="E46" i="10" a="1"/>
  <c r="E54" i="10" a="1"/>
  <c r="E62" i="10" a="1"/>
  <c r="E70" i="10" a="1"/>
  <c r="E43" i="10" a="1"/>
  <c r="E63" i="10" a="1"/>
  <c r="E79" i="10" a="1"/>
  <c r="E95" i="10" a="1"/>
  <c r="E111" i="10" a="1"/>
  <c r="E127" i="10" a="1"/>
  <c r="E148" i="10" a="1"/>
  <c r="E163" i="10" a="1"/>
  <c r="E181" i="10" a="1"/>
  <c r="E189" i="10" a="1"/>
  <c r="E197" i="10" a="1"/>
  <c r="E205" i="10" a="1"/>
  <c r="E74" i="10" a="1"/>
  <c r="E90" i="10" a="1"/>
  <c r="E106" i="10" a="1"/>
  <c r="E122" i="10" a="1"/>
  <c r="E138" i="10" a="1"/>
  <c r="E161" i="10" a="1"/>
  <c r="E177" i="10" a="1"/>
  <c r="E41" i="10" a="1"/>
  <c r="E72" i="10" a="1"/>
  <c r="E104" i="10" a="1"/>
  <c r="E136" i="10" a="1"/>
  <c r="E167" i="10" a="1"/>
  <c r="E194" i="10" a="1"/>
  <c r="E210" i="10" a="1"/>
  <c r="E228" i="10" a="1"/>
  <c r="E244" i="10" a="1"/>
  <c r="E266" i="10" a="1"/>
  <c r="E282" i="10" a="1"/>
  <c r="E301" i="10" a="1"/>
  <c r="E317" i="10" a="1"/>
  <c r="E332" i="10" a="1"/>
  <c r="E348" i="10" a="1"/>
  <c r="E361" i="10" a="1"/>
  <c r="E376" i="10" a="1"/>
  <c r="E392" i="10" a="1"/>
  <c r="E89" i="10" a="1"/>
  <c r="E121" i="10" a="1"/>
  <c r="E153" i="10" a="1"/>
  <c r="E218" i="10" a="1"/>
  <c r="E234" i="10" a="1"/>
  <c r="E249" i="10" a="1"/>
  <c r="E214" i="10" a="1"/>
  <c r="E22" i="10" a="1"/>
  <c r="E44" i="10" a="1"/>
  <c r="E56" i="10" a="1"/>
  <c r="E66" i="10" a="1"/>
  <c r="E23" i="10" a="1"/>
  <c r="E47" i="10" a="1"/>
  <c r="E71" i="10" a="1"/>
  <c r="E92" i="10" a="1"/>
  <c r="E116" i="10" a="1"/>
  <c r="E140" i="10" a="1"/>
  <c r="E158" i="10" a="1"/>
  <c r="E183" i="10" a="1"/>
  <c r="E193" i="10" a="1"/>
  <c r="E203" i="10" a="1"/>
  <c r="E77" i="10" a="1"/>
  <c r="E98" i="10" a="1"/>
  <c r="E117" i="10" a="1"/>
  <c r="E141" i="10" a="1"/>
  <c r="E169" i="10" a="1"/>
  <c r="E33" i="10" a="1"/>
  <c r="E83" i="10" a="1"/>
  <c r="E120" i="10" a="1"/>
  <c r="E162" i="10" a="1"/>
  <c r="E198" i="10" a="1"/>
  <c r="E220" i="10" a="1"/>
  <c r="E239" i="10" a="1"/>
  <c r="E269" i="10" a="1"/>
  <c r="E290" i="10" a="1"/>
  <c r="E314" i="10" a="1"/>
  <c r="E337" i="10" a="1"/>
  <c r="E354" i="10" a="1"/>
  <c r="E373" i="10" a="1"/>
  <c r="E397" i="10" a="1"/>
  <c r="E105" i="10" a="1"/>
  <c r="E142" i="10" a="1"/>
  <c r="E221" i="10" a="1"/>
  <c r="E242" i="10" a="1"/>
  <c r="E259" i="10" a="1"/>
  <c r="E275" i="10" a="1"/>
  <c r="E291" i="10" a="1"/>
  <c r="E307" i="10" a="1"/>
  <c r="E323" i="10" a="1"/>
  <c r="E343" i="10" a="1"/>
  <c r="E366" i="10" a="1"/>
  <c r="E382" i="10" a="1"/>
  <c r="E403" i="10" a="1"/>
  <c r="E418" i="10" a="1"/>
  <c r="E80" i="10" a="1"/>
  <c r="E144" i="10" a="1"/>
  <c r="E192" i="10" a="1"/>
  <c r="E224" i="10" a="1"/>
  <c r="E265" i="10" a="1"/>
  <c r="E297" i="10" a="1"/>
  <c r="E329" i="10" a="1"/>
  <c r="E358" i="10" a="1"/>
  <c r="E388" i="10" a="1"/>
  <c r="E417" i="10" a="1"/>
  <c r="E434" i="10" a="1"/>
  <c r="E450" i="10" a="1"/>
  <c r="E465" i="10" a="1"/>
  <c r="E481" i="10" a="1"/>
  <c r="E496" i="10" a="1"/>
  <c r="E512" i="10" a="1"/>
  <c r="E530" i="10" a="1"/>
  <c r="E546" i="10" a="1"/>
  <c r="E566" i="10" a="1"/>
  <c r="E582" i="10" a="1"/>
  <c r="E597" i="10" a="1"/>
  <c r="E615" i="10" a="1"/>
  <c r="E631" i="10" a="1"/>
  <c r="E647" i="10" a="1"/>
  <c r="E326" i="10" a="1"/>
  <c r="E409" i="10" a="1"/>
  <c r="E446" i="10" a="1"/>
  <c r="E480" i="10" a="1"/>
  <c r="E508" i="10" a="1"/>
  <c r="E542" i="10" a="1"/>
  <c r="E573" i="10" a="1"/>
  <c r="E604" i="10" a="1"/>
  <c r="E632" i="10" a="1"/>
  <c r="E97" i="10" a="1"/>
  <c r="E81" i="10" a="1"/>
  <c r="E145" i="10" a="1"/>
  <c r="E230" i="10" a="1"/>
  <c r="E260" i="10" a="1"/>
  <c r="E292" i="10" a="1"/>
  <c r="E324" i="10" a="1"/>
  <c r="E353" i="10" a="1"/>
  <c r="E394" i="10" a="1"/>
  <c r="E415" i="10" a="1"/>
  <c r="E432" i="10" a="1"/>
  <c r="E448" i="10" a="1"/>
  <c r="E463" i="10" a="1"/>
  <c r="E479" i="10" a="1"/>
  <c r="E497" i="10" a="1"/>
  <c r="E513" i="10" a="1"/>
  <c r="E528" i="10" a="1"/>
  <c r="E544" i="10" a="1"/>
  <c r="E564" i="10" a="1"/>
  <c r="E580" i="10" a="1"/>
  <c r="E595" i="10" a="1"/>
  <c r="E611" i="10" a="1"/>
  <c r="E629" i="10" a="1"/>
  <c r="E645" i="10" a="1"/>
  <c r="E29" i="10" a="1"/>
  <c r="E96" i="10" a="1"/>
  <c r="E170" i="10" a="1"/>
  <c r="E212" i="10" a="1"/>
  <c r="E243" i="10" a="1"/>
  <c r="E273" i="10" a="1"/>
  <c r="E305" i="10" a="1"/>
  <c r="E341" i="10" a="1"/>
  <c r="E396" i="10" a="1"/>
  <c r="E449" i="10" a="1"/>
  <c r="E484" i="10" a="1"/>
  <c r="E519" i="10" a="1"/>
  <c r="E555" i="10" a="1"/>
  <c r="E596" i="10" a="1"/>
  <c r="E627" i="10" a="1"/>
  <c r="E86" i="10" a="1"/>
  <c r="E217" i="10" a="1"/>
  <c r="E300" i="10" a="1"/>
  <c r="E416" i="10" a="1"/>
  <c r="E478" i="10" a="1"/>
  <c r="E540" i="10" a="1"/>
  <c r="E602" i="10" a="1"/>
  <c r="E14" i="10" a="1"/>
  <c r="E24" i="10" a="1"/>
  <c r="E36" i="10" a="1"/>
  <c r="E48" i="10" a="1"/>
  <c r="E58" i="10" a="1"/>
  <c r="E68" i="10" a="1"/>
  <c r="E31" i="10" a="1"/>
  <c r="E55" i="10" a="1"/>
  <c r="E76" i="10" a="1"/>
  <c r="E100" i="10" a="1"/>
  <c r="E119" i="10" a="1"/>
  <c r="E143" i="10" a="1"/>
  <c r="E166" i="10" a="1"/>
  <c r="E185" i="10" a="1"/>
  <c r="E195" i="10" a="1"/>
  <c r="E207" i="10" a="1"/>
  <c r="E82" i="10" a="1"/>
  <c r="E101" i="10" a="1"/>
  <c r="E125" i="10" a="1"/>
  <c r="E146" i="10" a="1"/>
  <c r="E172" i="10" a="1"/>
  <c r="E49" i="10" a="1"/>
  <c r="E88" i="10" a="1"/>
  <c r="E131" i="10" a="1"/>
  <c r="E182" i="10" a="1"/>
  <c r="E202" i="10" a="1"/>
  <c r="E223" i="10" a="1"/>
  <c r="E253" i="10" a="1"/>
  <c r="E274" i="10" a="1"/>
  <c r="E298" i="10" a="1"/>
  <c r="E322" i="10" a="1"/>
  <c r="E340" i="10" a="1"/>
  <c r="E359" i="10" a="1"/>
  <c r="E381" i="10" a="1"/>
  <c r="E400" i="10" a="1"/>
  <c r="E110" i="10" a="1"/>
  <c r="E157" i="10" a="1"/>
  <c r="E226" i="10" a="1"/>
  <c r="E245" i="10" a="1"/>
  <c r="E264" i="10" a="1"/>
  <c r="E280" i="10" a="1"/>
  <c r="E296" i="10" a="1"/>
  <c r="E312" i="10" a="1"/>
  <c r="E328" i="10" a="1"/>
  <c r="E346" i="10" a="1"/>
  <c r="E371" i="10" a="1"/>
  <c r="E387" i="10" a="1"/>
  <c r="E16" i="10" a="1"/>
  <c r="E26" i="10" a="1"/>
  <c r="E40" i="10" a="1"/>
  <c r="E50" i="10" a="1"/>
  <c r="E60" i="10" a="1"/>
  <c r="E15" i="10" a="1"/>
  <c r="E35" i="10" a="1"/>
  <c r="E59" i="10" a="1"/>
  <c r="E84" i="10" a="1"/>
  <c r="E103" i="10" a="1"/>
  <c r="E124" i="10" a="1"/>
  <c r="E151" i="10" a="1"/>
  <c r="E171" i="10" a="1"/>
  <c r="E187" i="10" a="1"/>
  <c r="E199" i="10" a="1"/>
  <c r="E209" i="10" a="1"/>
  <c r="E85" i="10" a="1"/>
  <c r="E109" i="10" a="1"/>
  <c r="E130" i="10" a="1"/>
  <c r="E149" i="10" a="1"/>
  <c r="E17" i="10" a="1"/>
  <c r="E57" i="10" a="1"/>
  <c r="E99" i="10" a="1"/>
  <c r="E147" i="10" a="1"/>
  <c r="E186" i="10" a="1"/>
  <c r="E206" i="10" a="1"/>
  <c r="E231" i="10" a="1"/>
  <c r="E258" i="10" a="1"/>
  <c r="E277" i="10" a="1"/>
  <c r="E306" i="10" a="1"/>
  <c r="E325" i="10" a="1"/>
  <c r="E345" i="10" a="1"/>
  <c r="E365" i="10" a="1"/>
  <c r="E384" i="10" a="1"/>
  <c r="E73" i="10" a="1"/>
  <c r="E126" i="10" a="1"/>
  <c r="E168" i="10" a="1"/>
  <c r="E229" i="10" a="1"/>
  <c r="E251" i="10" a="1"/>
  <c r="E267" i="10" a="1"/>
  <c r="E283" i="10" a="1"/>
  <c r="E299" i="10" a="1"/>
  <c r="E315" i="10" a="1"/>
  <c r="E335" i="10" a="1"/>
  <c r="E352" i="10" a="1"/>
  <c r="E374" i="10" a="1"/>
  <c r="E395" i="10" a="1"/>
  <c r="E411" i="10" a="1"/>
  <c r="E37" i="10" a="1"/>
  <c r="E112" i="10" a="1"/>
  <c r="E175" i="10" a="1"/>
  <c r="E208" i="10" a="1"/>
  <c r="E240" i="10" a="1"/>
  <c r="E281" i="10" a="1"/>
  <c r="E313" i="10" a="1"/>
  <c r="E344" i="10" a="1"/>
  <c r="E372" i="10" a="1"/>
  <c r="E404" i="10" a="1"/>
  <c r="E426" i="10" a="1"/>
  <c r="E442" i="10" a="1"/>
  <c r="E458" i="10" a="1"/>
  <c r="E473" i="10" a="1"/>
  <c r="E488" i="10" a="1"/>
  <c r="E504" i="10" a="1"/>
  <c r="E520" i="10" a="1"/>
  <c r="E538" i="10" a="1"/>
  <c r="E554" i="10" a="1"/>
  <c r="E574" i="10" a="1"/>
  <c r="E589" i="10" a="1"/>
  <c r="E605" i="10" a="1"/>
  <c r="E623" i="10" a="1"/>
  <c r="E639" i="10" a="1"/>
  <c r="E654" i="10" a="1"/>
  <c r="E385" i="10" a="1"/>
  <c r="E430" i="10" a="1"/>
  <c r="E464" i="10" a="1"/>
  <c r="E492" i="10" a="1"/>
  <c r="E526" i="10" a="1"/>
  <c r="E558" i="10" a="1"/>
  <c r="E588" i="10" a="1"/>
  <c r="E616" i="10" a="1"/>
  <c r="E648" i="10" a="1"/>
  <c r="E160" i="10" a="1"/>
  <c r="E113" i="10" a="1"/>
  <c r="E176" i="10" a="1"/>
  <c r="E246" i="10" a="1"/>
  <c r="E276" i="10" a="1"/>
  <c r="E308" i="10" a="1"/>
  <c r="E339" i="10" a="1"/>
  <c r="E378" i="10" a="1"/>
  <c r="E408" i="10" a="1"/>
  <c r="E424" i="10" a="1"/>
  <c r="E440" i="10" a="1"/>
  <c r="E456" i="10" a="1"/>
  <c r="E471" i="10" a="1"/>
  <c r="E489" i="10" a="1"/>
  <c r="E505" i="10" a="1"/>
  <c r="E521" i="10" a="1"/>
  <c r="E536" i="10" a="1"/>
  <c r="E552" i="10" a="1"/>
  <c r="E572" i="10" a="1"/>
  <c r="E587" i="10" a="1"/>
  <c r="E603" i="10" a="1"/>
  <c r="E621" i="10" a="1"/>
  <c r="E637" i="10" a="1"/>
  <c r="E660" i="10" a="1"/>
  <c r="E61" i="10" a="1"/>
  <c r="E139" i="10" a="1"/>
  <c r="E196" i="10" a="1"/>
  <c r="E227" i="10" a="1"/>
  <c r="E257" i="10" a="1"/>
  <c r="E289" i="10" a="1"/>
  <c r="E321" i="10" a="1"/>
  <c r="E369" i="10" a="1"/>
  <c r="E433" i="10" a="1"/>
  <c r="E469" i="10" a="1"/>
  <c r="E500" i="10" a="1"/>
  <c r="E534" i="10" a="1"/>
  <c r="E570" i="10" a="1"/>
  <c r="E612" i="10" a="1"/>
  <c r="E640" i="10" a="1"/>
  <c r="E150" i="10" a="1"/>
  <c r="E238" i="10" a="1"/>
  <c r="E360" i="10" a="1"/>
  <c r="E447" i="10" a="1"/>
  <c r="E509" i="10" a="1"/>
  <c r="E42" i="10" a="1"/>
  <c r="E39" i="10" a="1"/>
  <c r="E135" i="10" a="1"/>
  <c r="E201" i="10" a="1"/>
  <c r="E133" i="10" a="1"/>
  <c r="E115" i="10" a="1"/>
  <c r="E236" i="10" a="1"/>
  <c r="E330" i="10" a="1"/>
  <c r="E94" i="10" a="1"/>
  <c r="E256" i="10" a="1"/>
  <c r="E320" i="10" a="1"/>
  <c r="E398" i="10" a="1"/>
  <c r="E53" i="10" a="1"/>
  <c r="E184" i="10" a="1"/>
  <c r="E254" i="10" a="1"/>
  <c r="E318" i="10" a="1"/>
  <c r="E377" i="10" a="1"/>
  <c r="E429" i="10" a="1"/>
  <c r="E461" i="10" a="1"/>
  <c r="E491" i="10" a="1"/>
  <c r="E527" i="10" a="1"/>
  <c r="E561" i="10" a="1"/>
  <c r="E592" i="10" a="1"/>
  <c r="E628" i="10" a="1"/>
  <c r="E659" i="10" a="1"/>
  <c r="E441" i="10" a="1"/>
  <c r="E503" i="10" a="1"/>
  <c r="E562" i="10" a="1"/>
  <c r="E624" i="10" a="1"/>
  <c r="E222" i="10" a="1"/>
  <c r="E225" i="10" a="1"/>
  <c r="E287" i="10" a="1"/>
  <c r="E350" i="10" a="1"/>
  <c r="E412" i="10" a="1"/>
  <c r="E443" i="10" a="1"/>
  <c r="E474" i="10" a="1"/>
  <c r="E510" i="10" a="1"/>
  <c r="E541" i="10" a="1"/>
  <c r="E575" i="10" a="1"/>
  <c r="E606" i="10" a="1"/>
  <c r="E642" i="10" a="1"/>
  <c r="E75" i="10" a="1"/>
  <c r="E204" i="10" a="1"/>
  <c r="E262" i="10" a="1"/>
  <c r="E336" i="10" a="1"/>
  <c r="E438" i="10" a="1"/>
  <c r="E511" i="10" a="1"/>
  <c r="E581" i="10" a="1"/>
  <c r="E655" i="10" a="1"/>
  <c r="E279" i="10" a="1"/>
  <c r="E467" i="10" a="1"/>
  <c r="E571" i="10" a="1"/>
  <c r="E653" i="10" a="1"/>
  <c r="E370" i="10" a="1"/>
  <c r="E524" i="10" a="1"/>
  <c r="E295" i="10" a="1"/>
  <c r="E475" i="10" a="1"/>
  <c r="E599" i="10" a="1"/>
  <c r="E327" i="10" a="1"/>
  <c r="E439" i="10" a="1"/>
  <c r="E501" i="10" a="1"/>
  <c r="E584" i="10" a="1"/>
  <c r="E646" i="10" a="1"/>
  <c r="E421" i="10" a="1"/>
  <c r="E576" i="10" a="1"/>
  <c r="E316" i="10" a="1"/>
  <c r="E485" i="10" a="1"/>
  <c r="E610" i="10" a="1"/>
  <c r="E19" i="10" a="1"/>
  <c r="E213" i="10" a="1"/>
  <c r="E304" i="10" a="1"/>
  <c r="E155" i="10" a="1"/>
  <c r="E362" i="10" a="1"/>
  <c r="E483" i="10" a="1"/>
  <c r="E551" i="10" a="1"/>
  <c r="E651" i="10" a="1"/>
  <c r="E547" i="10" a="1"/>
  <c r="E165" i="10" a="1"/>
  <c r="E399" i="10" a="1"/>
  <c r="E502" i="10" a="1"/>
  <c r="E598" i="10" a="1"/>
  <c r="E188" i="10" a="1"/>
  <c r="E405" i="10" a="1"/>
  <c r="E635" i="10" a="1"/>
  <c r="E560" i="10" a="1"/>
  <c r="E493" i="10" a="1"/>
  <c r="E444" i="10" a="1"/>
  <c r="E428" i="10" a="1"/>
  <c r="E625" i="10" a="1"/>
  <c r="E252" i="10" a="1"/>
  <c r="E52" i="10" a="1"/>
  <c r="E67" i="10" a="1"/>
  <c r="E156" i="10" a="1"/>
  <c r="E211" i="10" a="1"/>
  <c r="E164" i="10" a="1"/>
  <c r="E152" i="10" a="1"/>
  <c r="E261" i="10" a="1"/>
  <c r="E351" i="10" a="1"/>
  <c r="E137" i="10" a="1"/>
  <c r="E272" i="10" a="1"/>
  <c r="E338" i="10" a="1"/>
  <c r="E406" i="10" a="1"/>
  <c r="E91" i="10" a="1"/>
  <c r="E200" i="10" a="1"/>
  <c r="E270" i="10" a="1"/>
  <c r="E333" i="10" a="1"/>
  <c r="E393" i="10" a="1"/>
  <c r="E437" i="10" a="1"/>
  <c r="E468" i="10" a="1"/>
  <c r="E499" i="10" a="1"/>
  <c r="E535" i="10" a="1"/>
  <c r="E569" i="10" a="1"/>
  <c r="E600" i="10" a="1"/>
  <c r="E636" i="10" a="1"/>
  <c r="E355" i="10" a="1"/>
  <c r="E457" i="10" a="1"/>
  <c r="E516" i="10" a="1"/>
  <c r="E578" i="10" a="1"/>
  <c r="E643" i="10" a="1"/>
  <c r="E102" i="10" a="1"/>
  <c r="E241" i="10" a="1"/>
  <c r="E303" i="10" a="1"/>
  <c r="E367" i="10" a="1"/>
  <c r="E420" i="10" a="1"/>
  <c r="E451" i="10" a="1"/>
  <c r="E486" i="10" a="1"/>
  <c r="E518" i="10" a="1"/>
  <c r="E549" i="10" a="1"/>
  <c r="E583" i="10" a="1"/>
  <c r="E618" i="10" a="1"/>
  <c r="E657" i="10" a="1"/>
  <c r="E128" i="10" a="1"/>
  <c r="E216" i="10" a="1"/>
  <c r="E278" i="10" a="1"/>
  <c r="E364" i="10" a="1"/>
  <c r="E454" i="10" a="1"/>
  <c r="E523" i="10" a="1"/>
  <c r="E601" i="10" a="1"/>
  <c r="E118" i="10" a="1"/>
  <c r="E342" i="10" a="1"/>
  <c r="E498" i="10" a="1"/>
  <c r="E591" i="10" a="1"/>
  <c r="E663" i="10" a="1"/>
  <c r="E410" i="10" a="1"/>
  <c r="E556" i="10" a="1"/>
  <c r="E356" i="10" a="1"/>
  <c r="E506" i="10" a="1"/>
  <c r="E641" i="10" a="1"/>
  <c r="E347" i="10" a="1"/>
  <c r="E460" i="10" a="1"/>
  <c r="E532" i="10" a="1"/>
  <c r="E594" i="10" a="1"/>
  <c r="E656" i="10" a="1"/>
  <c r="E452" i="10" a="1"/>
  <c r="E607" i="10" a="1"/>
  <c r="E375" i="10" a="1"/>
  <c r="E517" i="10" a="1"/>
  <c r="E630" i="10" a="1"/>
  <c r="E402" i="10" a="1"/>
  <c r="E248" i="10" a="1"/>
  <c r="E617" i="10" a="1"/>
  <c r="E537" i="10" a="1"/>
  <c r="E263" i="10" a="1"/>
  <c r="E470" i="10" a="1"/>
  <c r="E614" i="10" a="1"/>
  <c r="E268" i="10" a="1"/>
  <c r="E638" i="10" a="1"/>
  <c r="E423" i="10" a="1"/>
  <c r="E661" i="10" a="1"/>
  <c r="E108" i="10" a="1"/>
  <c r="E114" i="10" a="1"/>
  <c r="E309" i="10" a="1"/>
  <c r="E237" i="10" a="1"/>
  <c r="E379" i="10" a="1"/>
  <c r="E235" i="10" a="1"/>
  <c r="E419" i="10" a="1"/>
  <c r="E515" i="10" a="1"/>
  <c r="E620" i="10" a="1"/>
  <c r="E487" i="10" a="1"/>
  <c r="E129" i="10" a="1"/>
  <c r="E334" i="10" a="1"/>
  <c r="E466" i="10" a="1"/>
  <c r="E567" i="10" a="1"/>
  <c r="E45" i="10" a="1"/>
  <c r="E310" i="10" a="1"/>
  <c r="E495" i="10" a="1"/>
  <c r="E233" i="10" a="1"/>
  <c r="E633" i="10" a="1"/>
  <c r="E649" i="10" a="1"/>
  <c r="E284" i="10" a="1"/>
  <c r="E563" i="10" a="1"/>
  <c r="E545" i="10" a="1"/>
  <c r="E579" i="10" a="1"/>
  <c r="E64" i="10" a="1"/>
  <c r="E87" i="10" a="1"/>
  <c r="E174" i="10" a="1"/>
  <c r="E93" i="10" a="1"/>
  <c r="E25" i="10" a="1"/>
  <c r="E190" i="10" a="1"/>
  <c r="E285" i="10" a="1"/>
  <c r="E368" i="10" a="1"/>
  <c r="E173" i="10" a="1"/>
  <c r="E288" i="10" a="1"/>
  <c r="E357" i="10" a="1"/>
  <c r="E414" i="10" a="1"/>
  <c r="E123" i="10" a="1"/>
  <c r="E219" i="10" a="1"/>
  <c r="E286" i="10" a="1"/>
  <c r="E349" i="10" a="1"/>
  <c r="E407" i="10" a="1"/>
  <c r="E445" i="10" a="1"/>
  <c r="E476" i="10" a="1"/>
  <c r="E507" i="10" a="1"/>
  <c r="E543" i="10" a="1"/>
  <c r="E577" i="10" a="1"/>
  <c r="E608" i="10" a="1"/>
  <c r="E644" i="10" a="1"/>
  <c r="E401" i="10" a="1"/>
  <c r="E472" i="10" a="1"/>
  <c r="E531" i="10" a="1"/>
  <c r="E593" i="10" a="1"/>
  <c r="E658" i="10" a="1"/>
  <c r="E134" i="10" a="1"/>
  <c r="E255" i="10" a="1"/>
  <c r="E319" i="10" a="1"/>
  <c r="E383" i="10" a="1"/>
  <c r="E427" i="10" a="1"/>
  <c r="E459" i="10" a="1"/>
  <c r="E494" i="10" a="1"/>
  <c r="E525" i="10" a="1"/>
  <c r="E557" i="10" a="1"/>
  <c r="E590" i="10" a="1"/>
  <c r="E626" i="10" a="1"/>
  <c r="E662" i="10" a="1"/>
  <c r="E159" i="10" a="1"/>
  <c r="E232" i="10" a="1"/>
  <c r="E294" i="10" a="1"/>
  <c r="E380" i="10" a="1"/>
  <c r="E477" i="10" a="1"/>
  <c r="E550" i="10" a="1"/>
  <c r="E619" i="10" a="1"/>
  <c r="E180" i="10" a="1"/>
  <c r="E529" i="10" a="1"/>
  <c r="E622" i="10" a="1"/>
  <c r="E431" i="10" a="1"/>
  <c r="E413" i="10" a="1"/>
  <c r="E386" i="10" a="1"/>
  <c r="E553" i="10" a="1"/>
  <c r="E514" i="10" a="1"/>
  <c r="E548" i="10" a="1"/>
  <c r="E30" i="10" a="1"/>
  <c r="E191" i="10" a="1"/>
  <c r="E65" i="10" a="1"/>
  <c r="E389" i="10" a="1"/>
  <c r="E302" i="10" a="1"/>
  <c r="E453" i="10" a="1"/>
  <c r="E585" i="10" a="1"/>
  <c r="E425" i="10" a="1"/>
  <c r="E609" i="10" a="1"/>
  <c r="E271" i="10" a="1"/>
  <c r="E435" i="10" a="1"/>
  <c r="E533" i="10" a="1"/>
  <c r="E634" i="10" a="1"/>
  <c r="E247" i="10" a="1"/>
  <c r="E565" i="10" a="1"/>
  <c r="E436" i="10" a="1"/>
  <c r="E311" i="10" a="1"/>
  <c r="E568" i="10" a="1"/>
  <c r="E490" i="10" a="1"/>
  <c r="E391" i="10" a="1"/>
  <c r="E455" i="10" a="1"/>
  <c r="E27" i="10" a="1"/>
  <c r="E32" i="10" a="1"/>
  <c r="E13" i="10" a="1"/>
  <c r="E18" i="10" a="1"/>
  <c r="E21" i="10" a="1"/>
  <c r="E21" i="10" l="1"/>
  <c r="E18" i="10"/>
  <c r="E13" i="10"/>
  <c r="E32" i="10"/>
  <c r="E27" i="10"/>
  <c r="E249" i="10"/>
  <c r="E214" i="10"/>
  <c r="E178" i="10"/>
  <c r="E652" i="10"/>
  <c r="F652" i="10" s="1"/>
  <c r="E661" i="10"/>
  <c r="E630" i="10"/>
  <c r="F630" i="10" s="1"/>
  <c r="E610" i="10"/>
  <c r="E579" i="10"/>
  <c r="E548" i="10"/>
  <c r="E517" i="10"/>
  <c r="F517" i="10" s="1"/>
  <c r="E485" i="10"/>
  <c r="F485" i="10" s="1"/>
  <c r="E455" i="10"/>
  <c r="F455" i="10" s="1"/>
  <c r="E423" i="10"/>
  <c r="E375" i="10"/>
  <c r="F375" i="10" s="1"/>
  <c r="E316" i="10"/>
  <c r="E252" i="10"/>
  <c r="F252" i="10" s="1"/>
  <c r="E638" i="10"/>
  <c r="F638" i="10" s="1"/>
  <c r="E607" i="10"/>
  <c r="F607" i="10" s="1"/>
  <c r="E576" i="10"/>
  <c r="F576" i="10" s="1"/>
  <c r="E545" i="10"/>
  <c r="E514" i="10"/>
  <c r="F514" i="10" s="1"/>
  <c r="E452" i="10"/>
  <c r="F452" i="10" s="1"/>
  <c r="E421" i="10"/>
  <c r="E391" i="10"/>
  <c r="E268" i="10"/>
  <c r="F268" i="10" s="1"/>
  <c r="E656" i="10"/>
  <c r="E646" i="10"/>
  <c r="F646" i="10" s="1"/>
  <c r="E625" i="10"/>
  <c r="F625" i="10" s="1"/>
  <c r="E614" i="10"/>
  <c r="E594" i="10"/>
  <c r="E584" i="10"/>
  <c r="E563" i="10"/>
  <c r="F563" i="10" s="1"/>
  <c r="E553" i="10"/>
  <c r="F553" i="10" s="1"/>
  <c r="E532" i="10"/>
  <c r="F532" i="10" s="1"/>
  <c r="E501" i="10"/>
  <c r="F501" i="10" s="1"/>
  <c r="E490" i="10"/>
  <c r="E470" i="10"/>
  <c r="F470" i="10" s="1"/>
  <c r="E460" i="10"/>
  <c r="E439" i="10"/>
  <c r="F439" i="10" s="1"/>
  <c r="E428" i="10"/>
  <c r="E386" i="10"/>
  <c r="F386" i="10" s="1"/>
  <c r="E347" i="10"/>
  <c r="F347" i="10" s="1"/>
  <c r="E327" i="10"/>
  <c r="F327" i="10" s="1"/>
  <c r="E284" i="10"/>
  <c r="F284" i="10" s="1"/>
  <c r="E263" i="10"/>
  <c r="F263" i="10" s="1"/>
  <c r="E641" i="10"/>
  <c r="F641" i="10" s="1"/>
  <c r="E599" i="10"/>
  <c r="E568" i="10"/>
  <c r="F568" i="10" s="1"/>
  <c r="E537" i="10"/>
  <c r="F537" i="10" s="1"/>
  <c r="E506" i="10"/>
  <c r="F506" i="10" s="1"/>
  <c r="E475" i="10"/>
  <c r="F475" i="10" s="1"/>
  <c r="E444" i="10"/>
  <c r="F444" i="10" s="1"/>
  <c r="E413" i="10"/>
  <c r="E356" i="10"/>
  <c r="F356" i="10" s="1"/>
  <c r="E295" i="10"/>
  <c r="F295" i="10" s="1"/>
  <c r="E649" i="10"/>
  <c r="E617" i="10"/>
  <c r="F617" i="10" s="1"/>
  <c r="E556" i="10"/>
  <c r="E524" i="10"/>
  <c r="F524" i="10" s="1"/>
  <c r="E493" i="10"/>
  <c r="F493" i="10" s="1"/>
  <c r="E431" i="10"/>
  <c r="F431" i="10" s="1"/>
  <c r="E410" i="10"/>
  <c r="E370" i="10"/>
  <c r="F370" i="10" s="1"/>
  <c r="E311" i="10"/>
  <c r="F311" i="10" s="1"/>
  <c r="E248" i="10"/>
  <c r="E663" i="10"/>
  <c r="F663" i="10" s="1"/>
  <c r="E653" i="10"/>
  <c r="F653" i="10" s="1"/>
  <c r="E633" i="10"/>
  <c r="F633" i="10" s="1"/>
  <c r="E622" i="10"/>
  <c r="F622" i="10" s="1"/>
  <c r="E602" i="10"/>
  <c r="F602" i="10" s="1"/>
  <c r="E591" i="10"/>
  <c r="F591" i="10" s="1"/>
  <c r="E571" i="10"/>
  <c r="F571" i="10" s="1"/>
  <c r="E560" i="10"/>
  <c r="E540" i="10"/>
  <c r="E529" i="10"/>
  <c r="F529" i="10" s="1"/>
  <c r="E509" i="10"/>
  <c r="F509" i="10" s="1"/>
  <c r="E498" i="10"/>
  <c r="E478" i="10"/>
  <c r="F478" i="10" s="1"/>
  <c r="E467" i="10"/>
  <c r="F467" i="10" s="1"/>
  <c r="E447" i="10"/>
  <c r="F447" i="10" s="1"/>
  <c r="E436" i="10"/>
  <c r="E416" i="10"/>
  <c r="E402" i="10"/>
  <c r="F402" i="10" s="1"/>
  <c r="E360" i="10"/>
  <c r="E342" i="10"/>
  <c r="E300" i="10"/>
  <c r="E279" i="10"/>
  <c r="E238" i="10"/>
  <c r="F238" i="10" s="1"/>
  <c r="E233" i="10"/>
  <c r="F233" i="10" s="1"/>
  <c r="E217" i="10"/>
  <c r="F217" i="10" s="1"/>
  <c r="E180" i="10"/>
  <c r="E150" i="10"/>
  <c r="E118" i="10"/>
  <c r="F118" i="10" s="1"/>
  <c r="E86" i="10"/>
  <c r="F86" i="10" s="1"/>
  <c r="E655" i="10"/>
  <c r="F655" i="10" s="1"/>
  <c r="E640" i="10"/>
  <c r="E635" i="10"/>
  <c r="F635" i="10" s="1"/>
  <c r="E627" i="10"/>
  <c r="F627" i="10" s="1"/>
  <c r="E619" i="10"/>
  <c r="F619" i="10" s="1"/>
  <c r="E612" i="10"/>
  <c r="E601" i="10"/>
  <c r="F601" i="10" s="1"/>
  <c r="E596" i="10"/>
  <c r="F596" i="10" s="1"/>
  <c r="E581" i="10"/>
  <c r="F581" i="10" s="1"/>
  <c r="E570" i="10"/>
  <c r="E565" i="10"/>
  <c r="E555" i="10"/>
  <c r="F555" i="10" s="1"/>
  <c r="E550" i="10"/>
  <c r="F550" i="10" s="1"/>
  <c r="E534" i="10"/>
  <c r="E523" i="10"/>
  <c r="E519" i="10"/>
  <c r="E511" i="10"/>
  <c r="F511" i="10" s="1"/>
  <c r="E500" i="10"/>
  <c r="F500" i="10" s="1"/>
  <c r="E495" i="10"/>
  <c r="F495" i="10" s="1"/>
  <c r="E484" i="10"/>
  <c r="F484" i="10" s="1"/>
  <c r="E477" i="10"/>
  <c r="E469" i="10"/>
  <c r="E454" i="10"/>
  <c r="F454" i="10" s="1"/>
  <c r="E449" i="10"/>
  <c r="E438" i="10"/>
  <c r="F438" i="10" s="1"/>
  <c r="E433" i="10"/>
  <c r="F433" i="10" s="1"/>
  <c r="E405" i="10"/>
  <c r="F405" i="10" s="1"/>
  <c r="E396" i="10"/>
  <c r="E380" i="10"/>
  <c r="F380" i="10" s="1"/>
  <c r="E369" i="10"/>
  <c r="F369" i="10" s="1"/>
  <c r="E364" i="10"/>
  <c r="E341" i="10"/>
  <c r="E336" i="10"/>
  <c r="E321" i="10"/>
  <c r="F321" i="10" s="1"/>
  <c r="E310" i="10"/>
  <c r="F310" i="10" s="1"/>
  <c r="E305" i="10"/>
  <c r="F305" i="10" s="1"/>
  <c r="E294" i="10"/>
  <c r="E289" i="10"/>
  <c r="F289" i="10" s="1"/>
  <c r="E278" i="10"/>
  <c r="F278" i="10" s="1"/>
  <c r="E273" i="10"/>
  <c r="F273" i="10" s="1"/>
  <c r="E262" i="10"/>
  <c r="F262" i="10" s="1"/>
  <c r="E257" i="10"/>
  <c r="F257" i="10" s="1"/>
  <c r="E247" i="10"/>
  <c r="E243" i="10"/>
  <c r="F243" i="10" s="1"/>
  <c r="E232" i="10"/>
  <c r="F232" i="10" s="1"/>
  <c r="E227" i="10"/>
  <c r="F227" i="10" s="1"/>
  <c r="E216" i="10"/>
  <c r="E212" i="10"/>
  <c r="E204" i="10"/>
  <c r="F204" i="10" s="1"/>
  <c r="E196" i="10"/>
  <c r="F196" i="10" s="1"/>
  <c r="E188" i="10"/>
  <c r="F188" i="10" s="1"/>
  <c r="E170" i="10"/>
  <c r="F170" i="10" s="1"/>
  <c r="E159" i="10"/>
  <c r="F159" i="10" s="1"/>
  <c r="E139" i="10"/>
  <c r="E128" i="10"/>
  <c r="F128" i="10" s="1"/>
  <c r="E96" i="10"/>
  <c r="F96" i="10" s="1"/>
  <c r="E75" i="10"/>
  <c r="E61" i="10"/>
  <c r="F61" i="10" s="1"/>
  <c r="E45" i="10"/>
  <c r="E29" i="10"/>
  <c r="F29" i="10" s="1"/>
  <c r="E662" i="10"/>
  <c r="F662" i="10" s="1"/>
  <c r="E660" i="10"/>
  <c r="E657" i="10"/>
  <c r="E645" i="10"/>
  <c r="F645" i="10" s="1"/>
  <c r="E642" i="10"/>
  <c r="F642" i="10" s="1"/>
  <c r="E637" i="10"/>
  <c r="F637" i="10" s="1"/>
  <c r="E634" i="10"/>
  <c r="F634" i="10" s="1"/>
  <c r="E629" i="10"/>
  <c r="F629" i="10" s="1"/>
  <c r="E626" i="10"/>
  <c r="F626" i="10" s="1"/>
  <c r="E621" i="10"/>
  <c r="F621" i="10" s="1"/>
  <c r="E618" i="10"/>
  <c r="F618" i="10" s="1"/>
  <c r="E611" i="10"/>
  <c r="E606" i="10"/>
  <c r="F606" i="10" s="1"/>
  <c r="E603" i="10"/>
  <c r="E598" i="10"/>
  <c r="E595" i="10"/>
  <c r="F595" i="10" s="1"/>
  <c r="E590" i="10"/>
  <c r="F590" i="10" s="1"/>
  <c r="E587" i="10"/>
  <c r="E583" i="10"/>
  <c r="E580" i="10"/>
  <c r="F580" i="10" s="1"/>
  <c r="E575" i="10"/>
  <c r="E572" i="10"/>
  <c r="F572" i="10" s="1"/>
  <c r="E567" i="10"/>
  <c r="F567" i="10" s="1"/>
  <c r="E564" i="10"/>
  <c r="E557" i="10"/>
  <c r="E552" i="10"/>
  <c r="F552" i="10" s="1"/>
  <c r="E549" i="10"/>
  <c r="E544" i="10"/>
  <c r="E541" i="10"/>
  <c r="F541" i="10" s="1"/>
  <c r="E536" i="10"/>
  <c r="F536" i="10" s="1"/>
  <c r="E533" i="10"/>
  <c r="E528" i="10"/>
  <c r="E525" i="10"/>
  <c r="F525" i="10" s="1"/>
  <c r="E521" i="10"/>
  <c r="E518" i="10"/>
  <c r="F518" i="10" s="1"/>
  <c r="E513" i="10"/>
  <c r="E510" i="10"/>
  <c r="F510" i="10" s="1"/>
  <c r="E505" i="10"/>
  <c r="E502" i="10"/>
  <c r="F502" i="10" s="1"/>
  <c r="E497" i="10"/>
  <c r="E494" i="10"/>
  <c r="F494" i="10" s="1"/>
  <c r="E489" i="10"/>
  <c r="F489" i="10" s="1"/>
  <c r="E486" i="10"/>
  <c r="F486" i="10" s="1"/>
  <c r="E479" i="10"/>
  <c r="E474" i="10"/>
  <c r="F474" i="10" s="1"/>
  <c r="E471" i="10"/>
  <c r="F471" i="10" s="1"/>
  <c r="E466" i="10"/>
  <c r="F466" i="10" s="1"/>
  <c r="E463" i="10"/>
  <c r="E459" i="10"/>
  <c r="E456" i="10"/>
  <c r="F456" i="10" s="1"/>
  <c r="E451" i="10"/>
  <c r="F451" i="10" s="1"/>
  <c r="E448" i="10"/>
  <c r="F448" i="10" s="1"/>
  <c r="E443" i="10"/>
  <c r="E440" i="10"/>
  <c r="F440" i="10" s="1"/>
  <c r="E435" i="10"/>
  <c r="E432" i="10"/>
  <c r="F432" i="10" s="1"/>
  <c r="E427" i="10"/>
  <c r="F427" i="10" s="1"/>
  <c r="E424" i="10"/>
  <c r="F424" i="10" s="1"/>
  <c r="E420" i="10"/>
  <c r="E415" i="10"/>
  <c r="E412" i="10"/>
  <c r="F412" i="10" s="1"/>
  <c r="E408" i="10"/>
  <c r="F408" i="10" s="1"/>
  <c r="E399" i="10"/>
  <c r="F399" i="10" s="1"/>
  <c r="E394" i="10"/>
  <c r="F394" i="10" s="1"/>
  <c r="E383" i="10"/>
  <c r="E378" i="10"/>
  <c r="F378" i="10" s="1"/>
  <c r="E367" i="10"/>
  <c r="F367" i="10" s="1"/>
  <c r="E353" i="10"/>
  <c r="F353" i="10" s="1"/>
  <c r="E350" i="10"/>
  <c r="F350" i="10" s="1"/>
  <c r="E339" i="10"/>
  <c r="F339" i="10" s="1"/>
  <c r="E334" i="10"/>
  <c r="F334" i="10" s="1"/>
  <c r="E324" i="10"/>
  <c r="E319" i="10"/>
  <c r="F319" i="10" s="1"/>
  <c r="E308" i="10"/>
  <c r="E303" i="10"/>
  <c r="F303" i="10" s="1"/>
  <c r="E292" i="10"/>
  <c r="F292" i="10" s="1"/>
  <c r="E287" i="10"/>
  <c r="F287" i="10" s="1"/>
  <c r="E276" i="10"/>
  <c r="F276" i="10" s="1"/>
  <c r="E271" i="10"/>
  <c r="E260" i="10"/>
  <c r="E255" i="10"/>
  <c r="F255" i="10" s="1"/>
  <c r="E246" i="10"/>
  <c r="E241" i="10"/>
  <c r="F241" i="10" s="1"/>
  <c r="E230" i="10"/>
  <c r="E225" i="10"/>
  <c r="F225" i="10" s="1"/>
  <c r="E176" i="10"/>
  <c r="E165" i="10"/>
  <c r="E145" i="10"/>
  <c r="E134" i="10"/>
  <c r="F134" i="10" s="1"/>
  <c r="E113" i="10"/>
  <c r="E102" i="10"/>
  <c r="E81" i="10"/>
  <c r="F81" i="10" s="1"/>
  <c r="E222" i="10"/>
  <c r="F222" i="10" s="1"/>
  <c r="E160" i="10"/>
  <c r="F160" i="10" s="1"/>
  <c r="E129" i="10"/>
  <c r="E97" i="10"/>
  <c r="F97" i="10" s="1"/>
  <c r="E658" i="10"/>
  <c r="F658" i="10" s="1"/>
  <c r="E648" i="10"/>
  <c r="E643" i="10"/>
  <c r="F643" i="10" s="1"/>
  <c r="E632" i="10"/>
  <c r="E624" i="10"/>
  <c r="E616" i="10"/>
  <c r="F616" i="10" s="1"/>
  <c r="E609" i="10"/>
  <c r="F609" i="10" s="1"/>
  <c r="E604" i="10"/>
  <c r="E593" i="10"/>
  <c r="E588" i="10"/>
  <c r="F588" i="10" s="1"/>
  <c r="E578" i="10"/>
  <c r="E573" i="10"/>
  <c r="F573" i="10" s="1"/>
  <c r="E562" i="10"/>
  <c r="F562" i="10" s="1"/>
  <c r="E558" i="10"/>
  <c r="E547" i="10"/>
  <c r="F547" i="10" s="1"/>
  <c r="E542" i="10"/>
  <c r="F542" i="10" s="1"/>
  <c r="E531" i="10"/>
  <c r="F531" i="10" s="1"/>
  <c r="E526" i="10"/>
  <c r="F526" i="10" s="1"/>
  <c r="E516" i="10"/>
  <c r="F516" i="10" s="1"/>
  <c r="E508" i="10"/>
  <c r="F508" i="10" s="1"/>
  <c r="E503" i="10"/>
  <c r="F503" i="10" s="1"/>
  <c r="E492" i="10"/>
  <c r="F492" i="10" s="1"/>
  <c r="E487" i="10"/>
  <c r="F487" i="10" s="1"/>
  <c r="E480" i="10"/>
  <c r="E472" i="10"/>
  <c r="E464" i="10"/>
  <c r="F464" i="10" s="1"/>
  <c r="E457" i="10"/>
  <c r="F457" i="10" s="1"/>
  <c r="E446" i="10"/>
  <c r="F446" i="10" s="1"/>
  <c r="E441" i="10"/>
  <c r="F441" i="10" s="1"/>
  <c r="E430" i="10"/>
  <c r="F430" i="10" s="1"/>
  <c r="E425" i="10"/>
  <c r="F425" i="10" s="1"/>
  <c r="E409" i="10"/>
  <c r="F409" i="10" s="1"/>
  <c r="E401" i="10"/>
  <c r="F401" i="10" s="1"/>
  <c r="E385" i="10"/>
  <c r="F385" i="10" s="1"/>
  <c r="E355" i="10"/>
  <c r="F355" i="10" s="1"/>
  <c r="E326" i="10"/>
  <c r="F326" i="10" s="1"/>
  <c r="E659" i="10"/>
  <c r="F659" i="10" s="1"/>
  <c r="E654" i="10"/>
  <c r="F654" i="10" s="1"/>
  <c r="E651" i="10"/>
  <c r="E647" i="10"/>
  <c r="E644" i="10"/>
  <c r="F644" i="10" s="1"/>
  <c r="E639" i="10"/>
  <c r="E636" i="10"/>
  <c r="F636" i="10" s="1"/>
  <c r="E631" i="10"/>
  <c r="E628" i="10"/>
  <c r="F628" i="10" s="1"/>
  <c r="E623" i="10"/>
  <c r="E620" i="10"/>
  <c r="F620" i="10" s="1"/>
  <c r="E615" i="10"/>
  <c r="F615" i="10" s="1"/>
  <c r="E608" i="10"/>
  <c r="F608" i="10" s="1"/>
  <c r="E605" i="10"/>
  <c r="F605" i="10" s="1"/>
  <c r="E600" i="10"/>
  <c r="F600" i="10" s="1"/>
  <c r="E597" i="10"/>
  <c r="F597" i="10" s="1"/>
  <c r="E592" i="10"/>
  <c r="F592" i="10" s="1"/>
  <c r="E589" i="10"/>
  <c r="F589" i="10" s="1"/>
  <c r="E585" i="10"/>
  <c r="E582" i="10"/>
  <c r="F582" i="10" s="1"/>
  <c r="E577" i="10"/>
  <c r="F577" i="10" s="1"/>
  <c r="E574" i="10"/>
  <c r="E569" i="10"/>
  <c r="E566" i="10"/>
  <c r="F566" i="10" s="1"/>
  <c r="E561" i="10"/>
  <c r="F561" i="10" s="1"/>
  <c r="E554" i="10"/>
  <c r="F554" i="10" s="1"/>
  <c r="E551" i="10"/>
  <c r="F551" i="10" s="1"/>
  <c r="E546" i="10"/>
  <c r="F546" i="10" s="1"/>
  <c r="E543" i="10"/>
  <c r="F543" i="10" s="1"/>
  <c r="E538" i="10"/>
  <c r="F538" i="10" s="1"/>
  <c r="E535" i="10"/>
  <c r="F535" i="10" s="1"/>
  <c r="E530" i="10"/>
  <c r="F530" i="10" s="1"/>
  <c r="E527" i="10"/>
  <c r="E520" i="10"/>
  <c r="E515" i="10"/>
  <c r="F515" i="10" s="1"/>
  <c r="E512" i="10"/>
  <c r="E507" i="10"/>
  <c r="F507" i="10" s="1"/>
  <c r="E504" i="10"/>
  <c r="E499" i="10"/>
  <c r="F499" i="10" s="1"/>
  <c r="E496" i="10"/>
  <c r="F496" i="10" s="1"/>
  <c r="E491" i="10"/>
  <c r="E488" i="10"/>
  <c r="F488" i="10" s="1"/>
  <c r="E483" i="10"/>
  <c r="E481" i="10"/>
  <c r="E476" i="10"/>
  <c r="E473" i="10"/>
  <c r="E468" i="10"/>
  <c r="E465" i="10"/>
  <c r="F465" i="10" s="1"/>
  <c r="E461" i="10"/>
  <c r="E458" i="10"/>
  <c r="F458" i="10" s="1"/>
  <c r="E453" i="10"/>
  <c r="F453" i="10" s="1"/>
  <c r="E450" i="10"/>
  <c r="E445" i="10"/>
  <c r="F445" i="10" s="1"/>
  <c r="E442" i="10"/>
  <c r="E437" i="10"/>
  <c r="F437" i="10" s="1"/>
  <c r="E434" i="10"/>
  <c r="F434" i="10" s="1"/>
  <c r="E429" i="10"/>
  <c r="E426" i="10"/>
  <c r="F426" i="10" s="1"/>
  <c r="E419" i="10"/>
  <c r="E417" i="10"/>
  <c r="E407" i="10"/>
  <c r="F407" i="10" s="1"/>
  <c r="E404" i="10"/>
  <c r="E393" i="10"/>
  <c r="F393" i="10" s="1"/>
  <c r="E388" i="10"/>
  <c r="F388" i="10" s="1"/>
  <c r="E377" i="10"/>
  <c r="F377" i="10" s="1"/>
  <c r="E372" i="10"/>
  <c r="E362" i="10"/>
  <c r="E358" i="10"/>
  <c r="E349" i="10"/>
  <c r="F349" i="10" s="1"/>
  <c r="E344" i="10"/>
  <c r="F344" i="10" s="1"/>
  <c r="E333" i="10"/>
  <c r="F333" i="10" s="1"/>
  <c r="E329" i="10"/>
  <c r="E318" i="10"/>
  <c r="F318" i="10" s="1"/>
  <c r="E313" i="10"/>
  <c r="F313" i="10" s="1"/>
  <c r="E302" i="10"/>
  <c r="F302" i="10" s="1"/>
  <c r="E297" i="10"/>
  <c r="F297" i="10" s="1"/>
  <c r="E286" i="10"/>
  <c r="F286" i="10" s="1"/>
  <c r="E281" i="10"/>
  <c r="F281" i="10" s="1"/>
  <c r="E270" i="10"/>
  <c r="F270" i="10" s="1"/>
  <c r="E265" i="10"/>
  <c r="E254" i="10"/>
  <c r="F254" i="10" s="1"/>
  <c r="E240" i="10"/>
  <c r="F240" i="10" s="1"/>
  <c r="E235" i="10"/>
  <c r="E224" i="10"/>
  <c r="E219" i="10"/>
  <c r="F219" i="10" s="1"/>
  <c r="E208" i="10"/>
  <c r="F208" i="10" s="1"/>
  <c r="E200" i="10"/>
  <c r="F200" i="10" s="1"/>
  <c r="E192" i="10"/>
  <c r="F192" i="10" s="1"/>
  <c r="E184" i="10"/>
  <c r="F184" i="10" s="1"/>
  <c r="E175" i="10"/>
  <c r="F175" i="10" s="1"/>
  <c r="E155" i="10"/>
  <c r="E144" i="10"/>
  <c r="F144" i="10" s="1"/>
  <c r="E123" i="10"/>
  <c r="F123" i="10" s="1"/>
  <c r="E112" i="10"/>
  <c r="E91" i="10"/>
  <c r="F91" i="10" s="1"/>
  <c r="E80" i="10"/>
  <c r="F80" i="10" s="1"/>
  <c r="E53" i="10"/>
  <c r="E37" i="10"/>
  <c r="E418" i="10"/>
  <c r="E414" i="10"/>
  <c r="E411" i="10"/>
  <c r="E406" i="10"/>
  <c r="F406" i="10" s="1"/>
  <c r="E403" i="10"/>
  <c r="E398" i="10"/>
  <c r="F398" i="10" s="1"/>
  <c r="E395" i="10"/>
  <c r="F395" i="10" s="1"/>
  <c r="E387" i="10"/>
  <c r="F387" i="10" s="1"/>
  <c r="E382" i="10"/>
  <c r="F382" i="10" s="1"/>
  <c r="E379" i="10"/>
  <c r="F379" i="10" s="1"/>
  <c r="E374" i="10"/>
  <c r="F374" i="10" s="1"/>
  <c r="E371" i="10"/>
  <c r="F371" i="10" s="1"/>
  <c r="E366" i="10"/>
  <c r="F366" i="10" s="1"/>
  <c r="E357" i="10"/>
  <c r="E352" i="10"/>
  <c r="E346" i="10"/>
  <c r="F346" i="10" s="1"/>
  <c r="E343" i="10"/>
  <c r="F343" i="10" s="1"/>
  <c r="E338" i="10"/>
  <c r="F338" i="10" s="1"/>
  <c r="E335" i="10"/>
  <c r="F335" i="10" s="1"/>
  <c r="E328" i="10"/>
  <c r="E323" i="10"/>
  <c r="E320" i="10"/>
  <c r="F320" i="10" s="1"/>
  <c r="E315" i="10"/>
  <c r="F315" i="10" s="1"/>
  <c r="E312" i="10"/>
  <c r="F312" i="10" s="1"/>
  <c r="E307" i="10"/>
  <c r="F307" i="10" s="1"/>
  <c r="E304" i="10"/>
  <c r="F304" i="10" s="1"/>
  <c r="E299" i="10"/>
  <c r="E296" i="10"/>
  <c r="F296" i="10" s="1"/>
  <c r="E291" i="10"/>
  <c r="F291" i="10" s="1"/>
  <c r="E288" i="10"/>
  <c r="F288" i="10" s="1"/>
  <c r="E283" i="10"/>
  <c r="F283" i="10" s="1"/>
  <c r="E280" i="10"/>
  <c r="E275" i="10"/>
  <c r="F275" i="10" s="1"/>
  <c r="E272" i="10"/>
  <c r="E267" i="10"/>
  <c r="F267" i="10" s="1"/>
  <c r="E264" i="10"/>
  <c r="F264" i="10" s="1"/>
  <c r="E259" i="10"/>
  <c r="E256" i="10"/>
  <c r="F256" i="10" s="1"/>
  <c r="E251" i="10"/>
  <c r="E245" i="10"/>
  <c r="E242" i="10"/>
  <c r="F242" i="10" s="1"/>
  <c r="E237" i="10"/>
  <c r="F237" i="10" s="1"/>
  <c r="E234" i="10"/>
  <c r="F234" i="10" s="1"/>
  <c r="E229" i="10"/>
  <c r="F229" i="10" s="1"/>
  <c r="E226" i="10"/>
  <c r="F226" i="10" s="1"/>
  <c r="E221" i="10"/>
  <c r="F221" i="10" s="1"/>
  <c r="E218" i="10"/>
  <c r="F218" i="10" s="1"/>
  <c r="E173" i="10"/>
  <c r="F173" i="10" s="1"/>
  <c r="E168" i="10"/>
  <c r="E157" i="10"/>
  <c r="E153" i="10"/>
  <c r="F153" i="10" s="1"/>
  <c r="E142" i="10"/>
  <c r="F142" i="10" s="1"/>
  <c r="E137" i="10"/>
  <c r="F137" i="10" s="1"/>
  <c r="E126" i="10"/>
  <c r="E121" i="10"/>
  <c r="F121" i="10" s="1"/>
  <c r="E110" i="10"/>
  <c r="F110" i="10" s="1"/>
  <c r="E105" i="10"/>
  <c r="E94" i="10"/>
  <c r="E89" i="10"/>
  <c r="E73" i="10"/>
  <c r="E400" i="10"/>
  <c r="F400" i="10" s="1"/>
  <c r="E397" i="10"/>
  <c r="E392" i="10"/>
  <c r="F392" i="10" s="1"/>
  <c r="E389" i="10"/>
  <c r="F389" i="10" s="1"/>
  <c r="E384" i="10"/>
  <c r="E381" i="10"/>
  <c r="F381" i="10" s="1"/>
  <c r="E376" i="10"/>
  <c r="F376" i="10" s="1"/>
  <c r="E373" i="10"/>
  <c r="E368" i="10"/>
  <c r="F368" i="10" s="1"/>
  <c r="E365" i="10"/>
  <c r="F365" i="10" s="1"/>
  <c r="E361" i="10"/>
  <c r="E359" i="10"/>
  <c r="E354" i="10"/>
  <c r="F354" i="10" s="1"/>
  <c r="E351" i="10"/>
  <c r="E348" i="10"/>
  <c r="F348" i="10" s="1"/>
  <c r="E345" i="10"/>
  <c r="F345" i="10" s="1"/>
  <c r="E340" i="10"/>
  <c r="F340" i="10" s="1"/>
  <c r="E337" i="10"/>
  <c r="E332" i="10"/>
  <c r="E330" i="10"/>
  <c r="E325" i="10"/>
  <c r="F325" i="10" s="1"/>
  <c r="E322" i="10"/>
  <c r="F322" i="10" s="1"/>
  <c r="E317" i="10"/>
  <c r="E314" i="10"/>
  <c r="F314" i="10" s="1"/>
  <c r="E309" i="10"/>
  <c r="E306" i="10"/>
  <c r="F306" i="10" s="1"/>
  <c r="E301" i="10"/>
  <c r="F301" i="10" s="1"/>
  <c r="E298" i="10"/>
  <c r="F298" i="10" s="1"/>
  <c r="E290" i="10"/>
  <c r="F290" i="10" s="1"/>
  <c r="E285" i="10"/>
  <c r="F285" i="10" s="1"/>
  <c r="E282" i="10"/>
  <c r="F282" i="10" s="1"/>
  <c r="E277" i="10"/>
  <c r="F277" i="10" s="1"/>
  <c r="E274" i="10"/>
  <c r="F274" i="10" s="1"/>
  <c r="E269" i="10"/>
  <c r="F269" i="10" s="1"/>
  <c r="E266" i="10"/>
  <c r="E261" i="10"/>
  <c r="F261" i="10" s="1"/>
  <c r="E258" i="10"/>
  <c r="F258" i="10" s="1"/>
  <c r="E253" i="10"/>
  <c r="F253" i="10" s="1"/>
  <c r="E244" i="10"/>
  <c r="E239" i="10"/>
  <c r="F239" i="10" s="1"/>
  <c r="E236" i="10"/>
  <c r="E231" i="10"/>
  <c r="E228" i="10"/>
  <c r="F228" i="10" s="1"/>
  <c r="E223" i="10"/>
  <c r="E220" i="10"/>
  <c r="F220" i="10" s="1"/>
  <c r="E213" i="10"/>
  <c r="E210" i="10"/>
  <c r="F210" i="10" s="1"/>
  <c r="E206" i="10"/>
  <c r="E202" i="10"/>
  <c r="E198" i="10"/>
  <c r="F198" i="10" s="1"/>
  <c r="E194" i="10"/>
  <c r="E190" i="10"/>
  <c r="F190" i="10" s="1"/>
  <c r="E186" i="10"/>
  <c r="E182" i="10"/>
  <c r="F182" i="10" s="1"/>
  <c r="E167" i="10"/>
  <c r="F167" i="10" s="1"/>
  <c r="E162" i="10"/>
  <c r="E152" i="10"/>
  <c r="F152" i="10" s="1"/>
  <c r="E147" i="10"/>
  <c r="F147" i="10" s="1"/>
  <c r="E136" i="10"/>
  <c r="F136" i="10" s="1"/>
  <c r="E131" i="10"/>
  <c r="E120" i="10"/>
  <c r="E115" i="10"/>
  <c r="F115" i="10" s="1"/>
  <c r="E104" i="10"/>
  <c r="E99" i="10"/>
  <c r="F99" i="10" s="1"/>
  <c r="E88" i="10"/>
  <c r="E83" i="10"/>
  <c r="E72" i="10"/>
  <c r="E65" i="10"/>
  <c r="F65" i="10" s="1"/>
  <c r="E57" i="10"/>
  <c r="F57" i="10" s="1"/>
  <c r="E49" i="10"/>
  <c r="E41" i="10"/>
  <c r="E33" i="10"/>
  <c r="F33" i="10" s="1"/>
  <c r="E25" i="10"/>
  <c r="F25" i="10" s="1"/>
  <c r="E17" i="10"/>
  <c r="E177" i="10"/>
  <c r="E172" i="10"/>
  <c r="F172" i="10" s="1"/>
  <c r="E169" i="10"/>
  <c r="E164" i="10"/>
  <c r="F164" i="10" s="1"/>
  <c r="E161" i="10"/>
  <c r="E149" i="10"/>
  <c r="F149" i="10" s="1"/>
  <c r="E146" i="10"/>
  <c r="E141" i="10"/>
  <c r="F141" i="10" s="1"/>
  <c r="E138" i="10"/>
  <c r="E133" i="10"/>
  <c r="E130" i="10"/>
  <c r="E125" i="10"/>
  <c r="E122" i="10"/>
  <c r="F122" i="10" s="1"/>
  <c r="E117" i="10"/>
  <c r="F117" i="10" s="1"/>
  <c r="E114" i="10"/>
  <c r="F114" i="10" s="1"/>
  <c r="E109" i="10"/>
  <c r="F109" i="10" s="1"/>
  <c r="E106" i="10"/>
  <c r="E101" i="10"/>
  <c r="E98" i="10"/>
  <c r="F98" i="10" s="1"/>
  <c r="E93" i="10"/>
  <c r="F93" i="10" s="1"/>
  <c r="E90" i="10"/>
  <c r="F90" i="10" s="1"/>
  <c r="E85" i="10"/>
  <c r="F85" i="10" s="1"/>
  <c r="E82" i="10"/>
  <c r="F82" i="10" s="1"/>
  <c r="E77" i="10"/>
  <c r="F77" i="10" s="1"/>
  <c r="E74" i="10"/>
  <c r="F74" i="10" s="1"/>
  <c r="E211" i="10"/>
  <c r="F211" i="10" s="1"/>
  <c r="E209" i="10"/>
  <c r="F209" i="10" s="1"/>
  <c r="E207" i="10"/>
  <c r="F207" i="10" s="1"/>
  <c r="E205" i="10"/>
  <c r="E203" i="10"/>
  <c r="F203" i="10" s="1"/>
  <c r="E201" i="10"/>
  <c r="E199" i="10"/>
  <c r="F199" i="10" s="1"/>
  <c r="E197" i="10"/>
  <c r="F197" i="10" s="1"/>
  <c r="E195" i="10"/>
  <c r="F195" i="10" s="1"/>
  <c r="E193" i="10"/>
  <c r="E191" i="10"/>
  <c r="F191" i="10" s="1"/>
  <c r="E189" i="10"/>
  <c r="F189" i="10" s="1"/>
  <c r="E187" i="10"/>
  <c r="F187" i="10" s="1"/>
  <c r="E185" i="10"/>
  <c r="E183" i="10"/>
  <c r="F183" i="10" s="1"/>
  <c r="E181" i="10"/>
  <c r="F181" i="10" s="1"/>
  <c r="E174" i="10"/>
  <c r="F174" i="10" s="1"/>
  <c r="E171" i="10"/>
  <c r="F171" i="10" s="1"/>
  <c r="E166" i="10"/>
  <c r="E163" i="10"/>
  <c r="F163" i="10" s="1"/>
  <c r="E158" i="10"/>
  <c r="E156" i="10"/>
  <c r="E151" i="10"/>
  <c r="E148" i="10"/>
  <c r="F148" i="10" s="1"/>
  <c r="E143" i="10"/>
  <c r="F143" i="10" s="1"/>
  <c r="E140" i="10"/>
  <c r="F140" i="10" s="1"/>
  <c r="E135" i="10"/>
  <c r="F135" i="10" s="1"/>
  <c r="E127" i="10"/>
  <c r="F127" i="10" s="1"/>
  <c r="E124" i="10"/>
  <c r="F124" i="10" s="1"/>
  <c r="E119" i="10"/>
  <c r="E116" i="10"/>
  <c r="F116" i="10" s="1"/>
  <c r="E111" i="10"/>
  <c r="F111" i="10" s="1"/>
  <c r="E108" i="10"/>
  <c r="E103" i="10"/>
  <c r="F103" i="10" s="1"/>
  <c r="E100" i="10"/>
  <c r="F100" i="10" s="1"/>
  <c r="E95" i="10"/>
  <c r="E92" i="10"/>
  <c r="F92" i="10" s="1"/>
  <c r="E87" i="10"/>
  <c r="F87" i="10" s="1"/>
  <c r="E84" i="10"/>
  <c r="E79" i="10"/>
  <c r="E76" i="10"/>
  <c r="E71" i="10"/>
  <c r="F71" i="10" s="1"/>
  <c r="E67" i="10"/>
  <c r="E63" i="10"/>
  <c r="E59" i="10"/>
  <c r="E55" i="10"/>
  <c r="E47" i="10"/>
  <c r="F47" i="10" s="1"/>
  <c r="E43" i="10"/>
  <c r="F43" i="10" s="1"/>
  <c r="E39" i="10"/>
  <c r="F39" i="10" s="1"/>
  <c r="E35" i="10"/>
  <c r="E31" i="10"/>
  <c r="E23" i="10"/>
  <c r="F23" i="10" s="1"/>
  <c r="E19" i="10"/>
  <c r="F19" i="10" s="1"/>
  <c r="E15" i="10"/>
  <c r="E70" i="10"/>
  <c r="E68" i="10"/>
  <c r="E66" i="10"/>
  <c r="E64" i="10"/>
  <c r="F64" i="10" s="1"/>
  <c r="E62" i="10"/>
  <c r="E60" i="10"/>
  <c r="F60" i="10" s="1"/>
  <c r="E58" i="10"/>
  <c r="E56" i="10"/>
  <c r="E54" i="10"/>
  <c r="F54" i="10" s="1"/>
  <c r="E52" i="10"/>
  <c r="E50" i="10"/>
  <c r="F50" i="10" s="1"/>
  <c r="E48" i="10"/>
  <c r="E46" i="10"/>
  <c r="F46" i="10" s="1"/>
  <c r="E44" i="10"/>
  <c r="E42" i="10"/>
  <c r="F42" i="10" s="1"/>
  <c r="E40" i="10"/>
  <c r="E38" i="10"/>
  <c r="E36" i="10"/>
  <c r="F36" i="10" s="1"/>
  <c r="E30" i="10"/>
  <c r="E28" i="10"/>
  <c r="F28" i="10" s="1"/>
  <c r="E26" i="10"/>
  <c r="E24" i="10"/>
  <c r="F24" i="10" s="1"/>
  <c r="E22" i="10"/>
  <c r="E20" i="10"/>
  <c r="E16" i="10"/>
  <c r="F16" i="10" s="1"/>
  <c r="E14" i="10"/>
  <c r="F68" i="10"/>
  <c r="F15" i="10"/>
  <c r="F14" i="10"/>
  <c r="F53" i="10"/>
  <c r="F30" i="10"/>
  <c r="F22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<sst xmlns="http://schemas.openxmlformats.org/spreadsheetml/2006/main" count="2082" uniqueCount="209">
  <si>
    <t>Back Squat</t>
  </si>
  <si>
    <t>Power Snatch</t>
  </si>
  <si>
    <t>Snatch Pull to Knee + Snatch</t>
  </si>
  <si>
    <t>Snatch Grip Behind the Neck Push Press + Overhead Squat</t>
  </si>
  <si>
    <t>Week 1 - Day 1</t>
  </si>
  <si>
    <t>Week 1 - Day 2</t>
  </si>
  <si>
    <t>Week 1 - Day 3</t>
  </si>
  <si>
    <t>Week 1 - Day 4</t>
  </si>
  <si>
    <t>Week 2 - Day 1</t>
  </si>
  <si>
    <t>Week 2 - Day 2</t>
  </si>
  <si>
    <t>Week 2 - Day 3</t>
  </si>
  <si>
    <t>Week 2 - Day 4</t>
  </si>
  <si>
    <t>Week 3 - Day 1</t>
  </si>
  <si>
    <t>Week 3 - Day 2</t>
  </si>
  <si>
    <t>Week 3 - Day 3</t>
  </si>
  <si>
    <t>Week 3 - Day 4</t>
  </si>
  <si>
    <t>Week 4 - Day 1</t>
  </si>
  <si>
    <t>Week 4 - Day 2</t>
  </si>
  <si>
    <t>Week 4 - Day 3</t>
  </si>
  <si>
    <t>Week 4 - Day 4</t>
  </si>
  <si>
    <t>Clean Deadlift</t>
  </si>
  <si>
    <t>Clean Pull to Knee + Clean</t>
  </si>
  <si>
    <t>Behind the Neck Push Press + Behind the Neck Push Jerk</t>
  </si>
  <si>
    <t>Push Press</t>
  </si>
  <si>
    <t>Hang Snatch</t>
  </si>
  <si>
    <t>Hang Clean + Jerk</t>
  </si>
  <si>
    <t>Behind the Neck Push Press</t>
  </si>
  <si>
    <t>Abdominals</t>
  </si>
  <si>
    <t>3 Sets of 20 Reps*</t>
  </si>
  <si>
    <t>*Athlete's choice on exercise selection.</t>
  </si>
  <si>
    <t>Power Clean + Push Jerk</t>
  </si>
  <si>
    <t>RDL</t>
  </si>
  <si>
    <t>4 Sets of 20 Reps*</t>
  </si>
  <si>
    <t>*Athlete's choice in exercise selection.</t>
  </si>
  <si>
    <t>Front Squat</t>
  </si>
  <si>
    <t>Power Clean + Press</t>
  </si>
  <si>
    <t>5 Sets of 1 P.Cl. + 5 Press*</t>
  </si>
  <si>
    <t>*Work up to weight where you can maintain proper form.</t>
  </si>
  <si>
    <t>Power Snatch + Behind the Neck Snatch Grip Push Press + Overhead Squat</t>
  </si>
  <si>
    <t>Power Clean + Front Squat + Jerk</t>
  </si>
  <si>
    <t>3 Sets of 25 Reps*</t>
  </si>
  <si>
    <t>*Athlete's choice of exercises.</t>
  </si>
  <si>
    <t>Snatch</t>
  </si>
  <si>
    <t>Clean + Jerk</t>
  </si>
  <si>
    <t>Clean Pulls</t>
  </si>
  <si>
    <t>Behind the Neck Push Jerk</t>
  </si>
  <si>
    <t>*Athlete's choice of exercise.</t>
  </si>
  <si>
    <t>Press</t>
  </si>
  <si>
    <t>5 Sets of 5 Reps*</t>
  </si>
  <si>
    <t>Clean &amp; Jerk</t>
  </si>
  <si>
    <t>Power Clean</t>
  </si>
  <si>
    <t>Front Squat + Jerk</t>
  </si>
  <si>
    <t>3 Sets of 30 Reps*</t>
  </si>
  <si>
    <t>Snatch Pulls + Snatch</t>
  </si>
  <si>
    <t>Clean Pulls + Clean</t>
  </si>
  <si>
    <t>Jerk*</t>
  </si>
  <si>
    <t>*Jerks are from the rack.</t>
  </si>
  <si>
    <t>5 Sets of 4 Reps*</t>
  </si>
  <si>
    <t>Good Mornings</t>
  </si>
  <si>
    <t>4 Sets of 8 Reps*</t>
  </si>
  <si>
    <t>Power Snatch + Snatch Grip Behind the Neck Push Press</t>
  </si>
  <si>
    <t>Back Squats</t>
  </si>
  <si>
    <t>4 Sets of 4 Reps*</t>
  </si>
  <si>
    <t>4 Sets of 5 Reps*</t>
  </si>
  <si>
    <t>*Athlete's choice for exercises.</t>
  </si>
  <si>
    <t>Good Morning</t>
  </si>
  <si>
    <t>Week 5 - Day 1</t>
  </si>
  <si>
    <t>Week 5 - Day 2</t>
  </si>
  <si>
    <t>Week 5 - Day 3</t>
  </si>
  <si>
    <t>Week 5 - Day 4</t>
  </si>
  <si>
    <t>Power Clean + Jerk</t>
  </si>
  <si>
    <t>4 Sets of 30 Reps*</t>
  </si>
  <si>
    <t>4 Sets of 4 Reps *</t>
  </si>
  <si>
    <t>Power Clean + Front Squat + Push Jerk</t>
  </si>
  <si>
    <t>4 Sets of 3 Reps*</t>
  </si>
  <si>
    <t>*Work of to weight where you can maintain proper form.</t>
  </si>
  <si>
    <t>Week 6 - Day 1</t>
  </si>
  <si>
    <t>Week 6 - Day 2</t>
  </si>
  <si>
    <t>Week 6 - Day 3</t>
  </si>
  <si>
    <t>Week 6 - Day 4</t>
  </si>
  <si>
    <t>Power Snatch + Overhead Squat</t>
  </si>
  <si>
    <t>Behind the Neck Snatch Grip Press</t>
  </si>
  <si>
    <t>Snatch Deadlift </t>
  </si>
  <si>
    <t>Snatch Pulls </t>
  </si>
  <si>
    <t>Power Clean from Blocks Below the Knee </t>
  </si>
  <si>
    <t>Power Snatch from Blocks Below the Knee </t>
  </si>
  <si>
    <t>Clean Pulls </t>
  </si>
  <si>
    <t>Snatch Pull </t>
  </si>
  <si>
    <t>Clean Pull from Blocks Below the Knee </t>
  </si>
  <si>
    <t>Clean Pull </t>
  </si>
  <si>
    <t>Snatch Pull from Blocks Below the Knee </t>
  </si>
  <si>
    <t>Snatch Deadlift from Blocks Below the Knee </t>
  </si>
  <si>
    <t>http://www.weightliftingwod.com/2012/11/advanced-progression-week-1-day-1.html</t>
  </si>
  <si>
    <t>%</t>
  </si>
  <si>
    <t>Weight</t>
  </si>
  <si>
    <t xml:space="preserve">1 Set of 3 Reps </t>
  </si>
  <si>
    <t xml:space="preserve">4 Sets of 3 Reps </t>
  </si>
  <si>
    <t xml:space="preserve">3 Sets of 2 Reps </t>
  </si>
  <si>
    <t xml:space="preserve">1 Set of 1 Rep </t>
  </si>
  <si>
    <t xml:space="preserve">5 Sets of 1 Rep </t>
  </si>
  <si>
    <t xml:space="preserve">1 Set of 2 Sn.Pu.Kn. + 1 Sn. </t>
  </si>
  <si>
    <t xml:space="preserve">3 Sets of 2 Sn.Pu.Kn. + 1 Sn. </t>
  </si>
  <si>
    <t xml:space="preserve">3 Sets of 3 Sn.Gr.Be.Ne.P.Pr. + 2 Oh.Sq. </t>
  </si>
  <si>
    <t xml:space="preserve">1 Set of 5 Reps </t>
  </si>
  <si>
    <t xml:space="preserve">4 Sets of 4 Reps </t>
  </si>
  <si>
    <t xml:space="preserve">1 Set of 4 Reps </t>
  </si>
  <si>
    <t xml:space="preserve">2 Sets of 3 Reps </t>
  </si>
  <si>
    <t xml:space="preserve">1 Set of 4 Hg.Cl. + 1 Jr. </t>
  </si>
  <si>
    <t xml:space="preserve">1 Set of 3 Hg.Cl. + 1 Jr. </t>
  </si>
  <si>
    <t xml:space="preserve">2 Sets of 4 Hg.Cl. + 1 Jr. </t>
  </si>
  <si>
    <t xml:space="preserve">3 Sets of 4 Reps </t>
  </si>
  <si>
    <t xml:space="preserve">5 Sets of 5 Reps </t>
  </si>
  <si>
    <t xml:space="preserve">1 Set of 3 Rerps </t>
  </si>
  <si>
    <t xml:space="preserve">1 Set of 2 Reps </t>
  </si>
  <si>
    <t>1 Set of 3 Reps </t>
  </si>
  <si>
    <t xml:space="preserve">1 Set of 1 Cl. + 3 Jr. </t>
  </si>
  <si>
    <t xml:space="preserve">1 Set of 1 Cl. + 2 Jr. </t>
  </si>
  <si>
    <t xml:space="preserve">1 Set of 1 Cl. + 1 Jr. </t>
  </si>
  <si>
    <t xml:space="preserve">5 Sets of 4 Reps </t>
  </si>
  <si>
    <t xml:space="preserve">1 Set of 3 Sn.Pu. + 1 Sn. </t>
  </si>
  <si>
    <t xml:space="preserve">4 Sets of 3 Sn.Pu. + 1 Sn. </t>
  </si>
  <si>
    <t xml:space="preserve">1 Set of 3 Cl.Pu. + 1 Cl. </t>
  </si>
  <si>
    <t xml:space="preserve">3 Sets of 3 Cl.Pu. + 1 Cl. </t>
  </si>
  <si>
    <t xml:space="preserve">1 Set of 1 Rep1 </t>
  </si>
  <si>
    <t xml:space="preserve">3 Sets of 3 Reps </t>
  </si>
  <si>
    <t xml:space="preserve">4 Sets of 3 reps </t>
  </si>
  <si>
    <t xml:space="preserve">1 Set of 3 P.Cl. + 1 Jr. </t>
  </si>
  <si>
    <t xml:space="preserve">3 Sets of 3 P.Cl. + 1 Jr. </t>
  </si>
  <si>
    <t xml:space="preserve">4 Sets of 2 Reps </t>
  </si>
  <si>
    <t xml:space="preserve">3 Sets of 1 Cl. + 3 Jr. </t>
  </si>
  <si>
    <t xml:space="preserve">3 Sets of 3 Reps </t>
  </si>
  <si>
    <t xml:space="preserve">4 Sets of 10 Reps </t>
  </si>
  <si>
    <t xml:space="preserve">1 Set of 2 Cl.Pu.Kn. + 1 Cl. </t>
  </si>
  <si>
    <t xml:space="preserve">4 Sets of 2 Cl.Pu.Kn. + 1 Cl. </t>
  </si>
  <si>
    <t xml:space="preserve">3 Sets of 3 Be.N.P.Pr. + 3 Be.N.P.Jr. </t>
  </si>
  <si>
    <t xml:space="preserve">5 Sets of 3 Reps </t>
  </si>
  <si>
    <t xml:space="preserve">1 Set of 2 P.Cl. + 3 P.Jr. </t>
  </si>
  <si>
    <t xml:space="preserve">1 Set of 1 P.Cl. + 2 P.Jr. </t>
  </si>
  <si>
    <t xml:space="preserve">3 Sets of 2 P.Cl. + 2 P.Jr. </t>
  </si>
  <si>
    <t xml:space="preserve">1 Set of 3 P.Cl. + 1 P.Jr. </t>
  </si>
  <si>
    <t xml:space="preserve">1 Set of 1 P.Cl. + 1 P.Jr. </t>
  </si>
  <si>
    <t xml:space="preserve">2 Sets of 2 Reps </t>
  </si>
  <si>
    <t xml:space="preserve">1 Set of 3 P.Sn. + 3 Sn.G.B.N.P.Pr. </t>
  </si>
  <si>
    <t xml:space="preserve">1 Set of 2 P.Sn. + 3 Sn.G.B.N.P.Pr. </t>
  </si>
  <si>
    <t xml:space="preserve">1 Set of 2 Cl. + 1 Jr. </t>
  </si>
  <si>
    <t xml:space="preserve">3 Sets of 3 Cl. + 1 Jr. </t>
  </si>
  <si>
    <t xml:space="preserve">1 Set of 3 P.Sn. + 3 Oh.S. </t>
  </si>
  <si>
    <t xml:space="preserve">2 Sets of 3 P.Sn. + 3 Oh.S. </t>
  </si>
  <si>
    <t xml:space="preserve">3 Sets of 3 P.Cl. + 1 P.Jr. </t>
  </si>
  <si>
    <t xml:space="preserve">4 Sets of 5 Reps </t>
  </si>
  <si>
    <t xml:space="preserve">4 Sets of 2 Sn.Pu.Kn. + 1 Sn. </t>
  </si>
  <si>
    <t xml:space="preserve">3 Sets of 3 Sn.Gr.Be.N.P.Pr. + 3 Oh.S. </t>
  </si>
  <si>
    <t xml:space="preserve">3 Sets of 4 Reps </t>
  </si>
  <si>
    <t xml:space="preserve">3 Sets of 3 Hg.Cl. + 1 Jr. </t>
  </si>
  <si>
    <t xml:space="preserve">3 Sets of 2 Cl. + 1 Jr. </t>
  </si>
  <si>
    <t xml:space="preserve">1 Set of 1 Reps </t>
  </si>
  <si>
    <t xml:space="preserve">5 Sets f 3 Reps </t>
  </si>
  <si>
    <t xml:space="preserve">1 Set of 3 P.Sn. + 3 B.N.Sn.Gr.P.Pr. + 3 Oh.S. </t>
  </si>
  <si>
    <t xml:space="preserve">1 Set of 3 P.Sn. + 3 B.N.Sn.Gr.P.Pr. + 2 Oh.S. </t>
  </si>
  <si>
    <t xml:space="preserve">1 Set of 3 P.Cl. + 3 F.S. + 3 P.Jr. </t>
  </si>
  <si>
    <t xml:space="preserve">1 Set of 3 P.Cl. + 3 F.S. + 2 P.Jr. </t>
  </si>
  <si>
    <t xml:space="preserve">1 Set of 3 Cl. + 1 Jr. </t>
  </si>
  <si>
    <t xml:space="preserve">3 Sets of 10 Reps </t>
  </si>
  <si>
    <t xml:space="preserve">1 Set of 3 P.Sn. + 3 B.N.Sn.G.P.Pr. + 3 Oh.S. </t>
  </si>
  <si>
    <t xml:space="preserve">3 Sets of 3 P.Sn. + 3 B.N.Sn.G.P.Pr. + 3 Oh.S. </t>
  </si>
  <si>
    <t xml:space="preserve">1 Set of 3 P.Cl. + 3 F.S. + 3 Jr. </t>
  </si>
  <si>
    <t xml:space="preserve">3 Sets of 3 P.Cl. + 3 F.S. + 3 Jr. </t>
  </si>
  <si>
    <t xml:space="preserve">1 Set of 3 F.S. + 1 Jr. </t>
  </si>
  <si>
    <t xml:space="preserve">4 Sets of 2 F.S. + 1 Jr. </t>
  </si>
  <si>
    <t xml:space="preserve">1 Set of 2 Cl. +1 Jr. </t>
  </si>
  <si>
    <t xml:space="preserve">1 Set of 1 Cl. +1 Jr. </t>
  </si>
  <si>
    <t xml:space="preserve">3 Sets of 3 P.Sn. + 3 B.N.Sn.G.P.Pr. + 2 Oh.S. </t>
  </si>
  <si>
    <t xml:space="preserve">3 Sets of 3 P.Cl. + 3 F.S. + 2 Jr. </t>
  </si>
  <si>
    <t>Overhead Squat</t>
  </si>
  <si>
    <t>1Set of 1 Rep</t>
  </si>
  <si>
    <t>Clean</t>
  </si>
  <si>
    <t>Deadlift</t>
  </si>
  <si>
    <t>Day 1</t>
  </si>
  <si>
    <t>Day 2</t>
  </si>
  <si>
    <t>Day 3</t>
  </si>
  <si>
    <t>Day 4</t>
  </si>
  <si>
    <t>bs</t>
  </si>
  <si>
    <t>fs</t>
  </si>
  <si>
    <t>os</t>
  </si>
  <si>
    <t>c</t>
  </si>
  <si>
    <t>s</t>
  </si>
  <si>
    <t>cj</t>
  </si>
  <si>
    <t>d</t>
  </si>
  <si>
    <t>pp</t>
  </si>
  <si>
    <t>4 Sets of 10 Reps</t>
  </si>
  <si>
    <t>1RM</t>
  </si>
  <si>
    <t>Code</t>
  </si>
  <si>
    <t>Perc</t>
  </si>
  <si>
    <r>
      <t>&lt;tr&gt;&lt;td</t>
    </r>
    <r>
      <rPr>
        <sz val="9"/>
        <color rgb="FF3B3B3B"/>
        <rFont val="Tahoma"/>
        <family val="2"/>
      </rPr>
      <t xml:space="preserve"> </t>
    </r>
    <r>
      <rPr>
        <sz val="9"/>
        <color rgb="FFE50000"/>
        <rFont val="Tahoma"/>
        <family val="2"/>
      </rPr>
      <t>colspan</t>
    </r>
    <r>
      <rPr>
        <sz val="9"/>
        <color rgb="FF3B3B3B"/>
        <rFont val="Tahoma"/>
        <family val="2"/>
      </rPr>
      <t>=</t>
    </r>
    <r>
      <rPr>
        <sz val="9"/>
        <color rgb="FF0000FF"/>
        <rFont val="Tahoma"/>
        <family val="2"/>
      </rPr>
      <t>"3"</t>
    </r>
    <r>
      <rPr>
        <sz val="9"/>
        <color rgb="FF3B3B3B"/>
        <rFont val="Tahoma"/>
        <family val="2"/>
      </rPr>
      <t xml:space="preserve"> </t>
    </r>
    <r>
      <rPr>
        <sz val="9"/>
        <color rgb="FFE50000"/>
        <rFont val="Tahoma"/>
        <family val="2"/>
      </rPr>
      <t>style</t>
    </r>
    <r>
      <rPr>
        <sz val="9"/>
        <color rgb="FF3B3B3B"/>
        <rFont val="Tahoma"/>
        <family val="2"/>
      </rPr>
      <t>=</t>
    </r>
    <r>
      <rPr>
        <sz val="9"/>
        <color rgb="FF0000FF"/>
        <rFont val="Tahoma"/>
        <family val="2"/>
      </rPr>
      <t>"height: 40px;"</t>
    </r>
    <r>
      <rPr>
        <sz val="9"/>
        <color rgb="FF800000"/>
        <rFont val="Tahoma"/>
        <family val="2"/>
      </rPr>
      <t>&gt;&lt;/td&gt;&lt;/tr&gt;</t>
    </r>
  </si>
  <si>
    <t>3 Sets of 20 Reps</t>
  </si>
  <si>
    <t>Athlete's choice on exercise selection.</t>
  </si>
  <si>
    <t>4 Sets of 20 Reps</t>
  </si>
  <si>
    <t>3 Sets of 25 Reps</t>
  </si>
  <si>
    <t>Work up to weight where you can maintain proper form.</t>
  </si>
  <si>
    <t>5 Sets of 5 Reps</t>
  </si>
  <si>
    <t>3 Sets of 30 Reps</t>
  </si>
  <si>
    <t>5 Sets of 4 Reps</t>
  </si>
  <si>
    <t>4 Sets of 8 Reps</t>
  </si>
  <si>
    <t>4 Sets of 4 Reps</t>
  </si>
  <si>
    <t>4 Sets of 5 Reps</t>
  </si>
  <si>
    <t>4 Sets of 30 Reps</t>
  </si>
  <si>
    <t>4 Sets of 3 Reps</t>
  </si>
  <si>
    <t>5 Sets of 1 P.Cl. + 5 Press</t>
  </si>
  <si>
    <t>Jerk - from the 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</si>
</sst>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u/>
      <sz val="9"/>
      <color theme="10"/>
      <name val="Tahoma"/>
      <family val="2"/>
    </font>
    <font>
      <sz val="9"/>
      <color theme="1"/>
      <name val="Tahoma"/>
      <family val="2"/>
    </font>
    <font>
      <sz val="12"/>
      <color theme="1"/>
      <name val="Tahoma"/>
      <family val="2"/>
    </font>
    <font>
      <sz val="12"/>
      <name val="Tahoma"/>
      <family val="2"/>
    </font>
    <font>
      <b/>
      <sz val="9"/>
      <color theme="1"/>
      <name val="Tahoma"/>
      <family val="2"/>
    </font>
    <font>
      <sz val="12"/>
      <color theme="0"/>
      <name val="Tahoma"/>
      <family val="2"/>
    </font>
    <font>
      <sz val="9"/>
      <color theme="0"/>
      <name val="Tahoma"/>
      <family val="2"/>
    </font>
    <font>
      <sz val="9"/>
      <name val="Tahoma"/>
      <family val="2"/>
    </font>
    <font>
      <sz val="9"/>
      <color rgb="FF800000"/>
      <name val="Tahoma"/>
      <family val="2"/>
    </font>
    <font>
      <sz val="9"/>
      <color rgb="FF3B3B3B"/>
      <name val="Tahoma"/>
      <family val="2"/>
    </font>
    <font>
      <sz val="9"/>
      <color rgb="FFE50000"/>
      <name val="Tahoma"/>
      <family val="2"/>
    </font>
    <font>
      <sz val="9"/>
      <color rgb="FF0000FF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A9189"/>
        <bgColor indexed="64"/>
      </patternFill>
    </fill>
    <fill>
      <patternFill patternType="solid">
        <fgColor rgb="FFFCAE7C"/>
        <bgColor indexed="64"/>
      </patternFill>
    </fill>
    <fill>
      <patternFill patternType="solid">
        <fgColor rgb="FFF9FFB5"/>
        <bgColor indexed="64"/>
      </patternFill>
    </fill>
    <fill>
      <patternFill patternType="solid">
        <fgColor rgb="FFB3F5BC"/>
        <bgColor indexed="64"/>
      </patternFill>
    </fill>
    <fill>
      <patternFill patternType="solid">
        <fgColor rgb="FFA3FFFF"/>
        <bgColor indexed="64"/>
      </patternFill>
    </fill>
    <fill>
      <patternFill patternType="solid">
        <fgColor rgb="FFECBAE7"/>
        <bgColor indexed="64"/>
      </patternFill>
    </fill>
    <fill>
      <patternFill patternType="solid">
        <fgColor rgb="FF97B2FF"/>
        <bgColor indexed="64"/>
      </patternFill>
    </fill>
    <fill>
      <patternFill patternType="solid">
        <fgColor rgb="FFCBB3FF"/>
        <bgColor indexed="64"/>
      </patternFill>
    </fill>
    <fill>
      <patternFill patternType="solid">
        <fgColor theme="1" tint="0.34998626667073579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8">
    <xf numFmtId="0" fontId="0" fillId="0" borderId="0" xfId="0"/>
    <xf numFmtId="0" fontId="3" fillId="0" borderId="0" xfId="1" applyFont="1" applyAlignment="1">
      <alignment horizontal="left"/>
    </xf>
    <xf numFmtId="0" fontId="4" fillId="0" borderId="0" xfId="0" applyFont="1" applyAlignment="1">
      <alignment horizontal="center" vertical="center"/>
    </xf>
    <xf numFmtId="0" fontId="4" fillId="0" borderId="0" xfId="0" applyFont="1"/>
    <xf numFmtId="0" fontId="3" fillId="0" borderId="0" xfId="1" applyFont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11" xfId="0" applyFont="1" applyBorder="1"/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3" xfId="0" applyFont="1" applyBorder="1"/>
    <xf numFmtId="0" fontId="4" fillId="0" borderId="14" xfId="0" applyFont="1" applyBorder="1" applyAlignment="1">
      <alignment horizontal="center" vertical="center"/>
    </xf>
    <xf numFmtId="0" fontId="4" fillId="0" borderId="8" xfId="0" applyFont="1" applyBorder="1"/>
    <xf numFmtId="0" fontId="4" fillId="0" borderId="18" xfId="0" applyFont="1" applyBorder="1"/>
    <xf numFmtId="0" fontId="5" fillId="0" borderId="0" xfId="0" applyFont="1" applyAlignment="1">
      <alignment horizontal="center" vertical="center"/>
    </xf>
    <xf numFmtId="0" fontId="5" fillId="2" borderId="16" xfId="0" applyFont="1" applyFill="1" applyBorder="1"/>
    <xf numFmtId="0" fontId="5" fillId="3" borderId="11" xfId="0" applyFont="1" applyFill="1" applyBorder="1"/>
    <xf numFmtId="0" fontId="5" fillId="4" borderId="11" xfId="0" applyFont="1" applyFill="1" applyBorder="1"/>
    <xf numFmtId="0" fontId="5" fillId="5" borderId="11" xfId="0" applyFont="1" applyFill="1" applyBorder="1"/>
    <xf numFmtId="0" fontId="5" fillId="6" borderId="11" xfId="0" applyFont="1" applyFill="1" applyBorder="1"/>
    <xf numFmtId="0" fontId="5" fillId="8" borderId="11" xfId="0" applyFont="1" applyFill="1" applyBorder="1"/>
    <xf numFmtId="0" fontId="6" fillId="9" borderId="11" xfId="0" applyFont="1" applyFill="1" applyBorder="1"/>
    <xf numFmtId="0" fontId="6" fillId="7" borderId="13" xfId="0" applyFont="1" applyFill="1" applyBorder="1"/>
    <xf numFmtId="0" fontId="5" fillId="2" borderId="17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5" fillId="4" borderId="12" xfId="0" applyFont="1" applyFill="1" applyBorder="1" applyAlignment="1">
      <alignment horizontal="center" vertical="center"/>
    </xf>
    <xf numFmtId="0" fontId="5" fillId="5" borderId="12" xfId="0" applyFont="1" applyFill="1" applyBorder="1" applyAlignment="1">
      <alignment horizontal="center" vertical="center"/>
    </xf>
    <xf numFmtId="0" fontId="5" fillId="6" borderId="12" xfId="0" applyFont="1" applyFill="1" applyBorder="1" applyAlignment="1">
      <alignment horizontal="center" vertical="center"/>
    </xf>
    <xf numFmtId="0" fontId="5" fillId="8" borderId="12" xfId="0" applyFont="1" applyFill="1" applyBorder="1" applyAlignment="1">
      <alignment horizontal="center" vertical="center"/>
    </xf>
    <xf numFmtId="1" fontId="4" fillId="6" borderId="12" xfId="0" applyNumberFormat="1" applyFont="1" applyFill="1" applyBorder="1" applyAlignment="1">
      <alignment horizontal="center" vertical="center"/>
    </xf>
    <xf numFmtId="0" fontId="7" fillId="0" borderId="11" xfId="0" applyFont="1" applyBorder="1"/>
    <xf numFmtId="0" fontId="7" fillId="0" borderId="9" xfId="0" applyFont="1" applyBorder="1"/>
    <xf numFmtId="0" fontId="7" fillId="0" borderId="7" xfId="0" applyFont="1" applyBorder="1"/>
    <xf numFmtId="0" fontId="7" fillId="0" borderId="8" xfId="0" applyFont="1" applyBorder="1"/>
    <xf numFmtId="0" fontId="8" fillId="10" borderId="3" xfId="0" applyFont="1" applyFill="1" applyBorder="1" applyAlignment="1">
      <alignment horizontal="center" vertical="center"/>
    </xf>
    <xf numFmtId="0" fontId="8" fillId="10" borderId="4" xfId="0" applyFont="1" applyFill="1" applyBorder="1" applyAlignment="1">
      <alignment horizontal="center" vertical="center"/>
    </xf>
    <xf numFmtId="0" fontId="8" fillId="10" borderId="6" xfId="0" applyFont="1" applyFill="1" applyBorder="1" applyAlignment="1">
      <alignment horizontal="center" vertical="center"/>
    </xf>
    <xf numFmtId="9" fontId="4" fillId="0" borderId="14" xfId="0" applyNumberFormat="1" applyFont="1" applyBorder="1" applyAlignment="1">
      <alignment horizontal="center" vertical="center"/>
    </xf>
    <xf numFmtId="1" fontId="4" fillId="6" borderId="15" xfId="0" applyNumberFormat="1" applyFont="1" applyFill="1" applyBorder="1" applyAlignment="1">
      <alignment horizontal="center" vertical="center"/>
    </xf>
    <xf numFmtId="0" fontId="6" fillId="9" borderId="12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1" fontId="8" fillId="10" borderId="5" xfId="0" applyNumberFormat="1" applyFont="1" applyFill="1" applyBorder="1" applyAlignment="1">
      <alignment horizontal="center" vertical="center"/>
    </xf>
    <xf numFmtId="1" fontId="4" fillId="0" borderId="10" xfId="0" applyNumberFormat="1" applyFont="1" applyBorder="1" applyAlignment="1">
      <alignment horizontal="center" vertical="center"/>
    </xf>
    <xf numFmtId="1" fontId="4" fillId="2" borderId="12" xfId="0" applyNumberFormat="1" applyFont="1" applyFill="1" applyBorder="1" applyAlignment="1">
      <alignment horizontal="center" vertical="center"/>
    </xf>
    <xf numFmtId="1" fontId="4" fillId="0" borderId="12" xfId="0" applyNumberFormat="1" applyFont="1" applyBorder="1" applyAlignment="1">
      <alignment horizontal="center" vertical="center"/>
    </xf>
    <xf numFmtId="1" fontId="4" fillId="4" borderId="15" xfId="0" applyNumberFormat="1" applyFont="1" applyFill="1" applyBorder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1" fontId="4" fillId="5" borderId="12" xfId="0" applyNumberFormat="1" applyFont="1" applyFill="1" applyBorder="1" applyAlignment="1">
      <alignment horizontal="center" vertical="center"/>
    </xf>
    <xf numFmtId="1" fontId="4" fillId="7" borderId="12" xfId="0" applyNumberFormat="1" applyFont="1" applyFill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1" fontId="4" fillId="4" borderId="12" xfId="0" applyNumberFormat="1" applyFont="1" applyFill="1" applyBorder="1" applyAlignment="1">
      <alignment horizontal="center" vertical="center"/>
    </xf>
    <xf numFmtId="1" fontId="4" fillId="8" borderId="12" xfId="0" applyNumberFormat="1" applyFont="1" applyFill="1" applyBorder="1" applyAlignment="1">
      <alignment horizontal="center" vertical="center"/>
    </xf>
    <xf numFmtId="1" fontId="4" fillId="9" borderId="12" xfId="0" applyNumberFormat="1" applyFont="1" applyFill="1" applyBorder="1" applyAlignment="1">
      <alignment horizontal="center" vertical="center"/>
    </xf>
    <xf numFmtId="1" fontId="4" fillId="3" borderId="12" xfId="0" applyNumberFormat="1" applyFont="1" applyFill="1" applyBorder="1" applyAlignment="1">
      <alignment horizontal="center" vertical="center"/>
    </xf>
    <xf numFmtId="1" fontId="5" fillId="2" borderId="17" xfId="0" applyNumberFormat="1" applyFont="1" applyFill="1" applyBorder="1" applyAlignment="1">
      <alignment horizontal="center" vertical="center"/>
    </xf>
    <xf numFmtId="1" fontId="5" fillId="3" borderId="12" xfId="0" applyNumberFormat="1" applyFont="1" applyFill="1" applyBorder="1" applyAlignment="1">
      <alignment horizontal="center" vertical="center"/>
    </xf>
    <xf numFmtId="1" fontId="5" fillId="4" borderId="12" xfId="0" applyNumberFormat="1" applyFont="1" applyFill="1" applyBorder="1" applyAlignment="1">
      <alignment horizontal="center" vertical="center"/>
    </xf>
    <xf numFmtId="1" fontId="5" fillId="5" borderId="12" xfId="0" applyNumberFormat="1" applyFont="1" applyFill="1" applyBorder="1" applyAlignment="1">
      <alignment horizontal="center" vertical="center"/>
    </xf>
    <xf numFmtId="1" fontId="5" fillId="6" borderId="12" xfId="0" applyNumberFormat="1" applyFont="1" applyFill="1" applyBorder="1" applyAlignment="1">
      <alignment horizontal="center" vertical="center"/>
    </xf>
    <xf numFmtId="1" fontId="5" fillId="8" borderId="12" xfId="0" applyNumberFormat="1" applyFont="1" applyFill="1" applyBorder="1" applyAlignment="1">
      <alignment horizontal="center" vertical="center"/>
    </xf>
    <xf numFmtId="1" fontId="6" fillId="9" borderId="12" xfId="0" applyNumberFormat="1" applyFont="1" applyFill="1" applyBorder="1" applyAlignment="1">
      <alignment horizontal="center" vertical="center"/>
    </xf>
    <xf numFmtId="1" fontId="6" fillId="7" borderId="15" xfId="0" applyNumberFormat="1" applyFont="1" applyFill="1" applyBorder="1" applyAlignment="1">
      <alignment horizontal="center" vertical="center"/>
    </xf>
    <xf numFmtId="0" fontId="3" fillId="0" borderId="0" xfId="1" applyFont="1" applyAlignment="1">
      <alignment horizontal="left" vertical="center"/>
    </xf>
    <xf numFmtId="0" fontId="4" fillId="0" borderId="0" xfId="0" applyFont="1" applyAlignment="1">
      <alignment vertical="center"/>
    </xf>
    <xf numFmtId="0" fontId="5" fillId="2" borderId="16" xfId="0" applyFont="1" applyFill="1" applyBorder="1" applyAlignment="1">
      <alignment vertical="center"/>
    </xf>
    <xf numFmtId="0" fontId="5" fillId="3" borderId="11" xfId="0" applyFont="1" applyFill="1" applyBorder="1" applyAlignment="1">
      <alignment vertical="center"/>
    </xf>
    <xf numFmtId="0" fontId="5" fillId="4" borderId="11" xfId="0" applyFont="1" applyFill="1" applyBorder="1" applyAlignment="1">
      <alignment vertical="center"/>
    </xf>
    <xf numFmtId="0" fontId="5" fillId="5" borderId="11" xfId="0" applyFont="1" applyFill="1" applyBorder="1" applyAlignment="1">
      <alignment vertical="center"/>
    </xf>
    <xf numFmtId="0" fontId="5" fillId="6" borderId="11" xfId="0" applyFont="1" applyFill="1" applyBorder="1" applyAlignment="1">
      <alignment vertical="center"/>
    </xf>
    <xf numFmtId="0" fontId="5" fillId="8" borderId="11" xfId="0" applyFont="1" applyFill="1" applyBorder="1" applyAlignment="1">
      <alignment vertical="center"/>
    </xf>
    <xf numFmtId="0" fontId="6" fillId="9" borderId="11" xfId="0" applyFont="1" applyFill="1" applyBorder="1" applyAlignment="1">
      <alignment vertical="center"/>
    </xf>
    <xf numFmtId="0" fontId="6" fillId="7" borderId="13" xfId="0" applyFont="1" applyFill="1" applyBorder="1" applyAlignment="1">
      <alignment vertical="center"/>
    </xf>
    <xf numFmtId="0" fontId="4" fillId="0" borderId="1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13" xfId="0" applyFont="1" applyBorder="1" applyAlignment="1">
      <alignment vertical="center"/>
    </xf>
    <xf numFmtId="0" fontId="8" fillId="10" borderId="1" xfId="0" applyFont="1" applyFill="1" applyBorder="1" applyAlignment="1">
      <alignment horizontal="center" vertical="center"/>
    </xf>
    <xf numFmtId="1" fontId="8" fillId="10" borderId="1" xfId="0" applyNumberFormat="1" applyFont="1" applyFill="1" applyBorder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1" fontId="4" fillId="6" borderId="1" xfId="0" applyNumberFormat="1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1" fontId="4" fillId="5" borderId="1" xfId="0" applyNumberFormat="1" applyFont="1" applyFill="1" applyBorder="1" applyAlignment="1">
      <alignment horizontal="center" vertical="center"/>
    </xf>
    <xf numFmtId="1" fontId="4" fillId="7" borderId="1" xfId="0" applyNumberFormat="1" applyFont="1" applyFill="1" applyBorder="1" applyAlignment="1">
      <alignment horizontal="center" vertical="center"/>
    </xf>
    <xf numFmtId="1" fontId="4" fillId="8" borderId="1" xfId="0" applyNumberFormat="1" applyFont="1" applyFill="1" applyBorder="1" applyAlignment="1">
      <alignment horizontal="center" vertical="center"/>
    </xf>
    <xf numFmtId="1" fontId="4" fillId="9" borderId="1" xfId="0" applyNumberFormat="1" applyFont="1" applyFill="1" applyBorder="1" applyAlignment="1">
      <alignment horizontal="center" vertical="center"/>
    </xf>
    <xf numFmtId="1" fontId="4" fillId="3" borderId="1" xfId="0" applyNumberFormat="1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horizontal="center" vertical="center"/>
    </xf>
    <xf numFmtId="0" fontId="8" fillId="10" borderId="19" xfId="0" applyFont="1" applyFill="1" applyBorder="1" applyAlignment="1">
      <alignment horizontal="center" vertical="center"/>
    </xf>
    <xf numFmtId="1" fontId="8" fillId="10" borderId="19" xfId="0" applyNumberFormat="1" applyFont="1" applyFill="1" applyBorder="1" applyAlignment="1">
      <alignment horizontal="center" vertical="center"/>
    </xf>
    <xf numFmtId="0" fontId="10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8" fillId="10" borderId="11" xfId="0" applyFont="1" applyFill="1" applyBorder="1" applyAlignment="1">
      <alignment horizontal="center" vertical="center"/>
    </xf>
    <xf numFmtId="0" fontId="9" fillId="10" borderId="12" xfId="0" applyFont="1" applyFill="1" applyBorder="1" applyAlignment="1">
      <alignment horizontal="center" vertical="center"/>
    </xf>
    <xf numFmtId="1" fontId="4" fillId="8" borderId="14" xfId="0" applyNumberFormat="1" applyFont="1" applyFill="1" applyBorder="1" applyAlignment="1">
      <alignment horizontal="center" vertical="center"/>
    </xf>
    <xf numFmtId="0" fontId="8" fillId="10" borderId="17" xfId="0" applyFont="1" applyFill="1" applyBorder="1" applyAlignment="1">
      <alignment horizontal="center" vertical="center"/>
    </xf>
    <xf numFmtId="0" fontId="8" fillId="10" borderId="12" xfId="0" applyFont="1" applyFill="1" applyBorder="1" applyAlignment="1">
      <alignment horizontal="center" vertical="center"/>
    </xf>
    <xf numFmtId="0" fontId="5" fillId="0" borderId="0" xfId="0" applyFont="1" applyAlignment="1">
      <alignment vertical="center"/>
    </xf>
    <xf numFmtId="1" fontId="5" fillId="0" borderId="0" xfId="0" applyNumberFormat="1" applyFont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5" fillId="4" borderId="1" xfId="0" applyNumberFormat="1" applyFont="1" applyFill="1" applyBorder="1" applyAlignment="1">
      <alignment horizontal="center" vertical="center"/>
    </xf>
    <xf numFmtId="1" fontId="5" fillId="5" borderId="1" xfId="0" applyNumberFormat="1" applyFont="1" applyFill="1" applyBorder="1" applyAlignment="1">
      <alignment horizontal="center" vertical="center"/>
    </xf>
    <xf numFmtId="1" fontId="5" fillId="6" borderId="1" xfId="0" applyNumberFormat="1" applyFont="1" applyFill="1" applyBorder="1" applyAlignment="1">
      <alignment horizontal="center" vertical="center"/>
    </xf>
    <xf numFmtId="1" fontId="5" fillId="8" borderId="1" xfId="0" applyNumberFormat="1" applyFont="1" applyFill="1" applyBorder="1" applyAlignment="1">
      <alignment horizontal="center" vertical="center"/>
    </xf>
    <xf numFmtId="1" fontId="6" fillId="9" borderId="1" xfId="0" applyNumberFormat="1" applyFont="1" applyFill="1" applyBorder="1" applyAlignment="1">
      <alignment horizontal="center" vertical="center"/>
    </xf>
    <xf numFmtId="1" fontId="5" fillId="2" borderId="19" xfId="0" applyNumberFormat="1" applyFont="1" applyFill="1" applyBorder="1" applyAlignment="1">
      <alignment horizontal="center" vertical="center"/>
    </xf>
    <xf numFmtId="1" fontId="6" fillId="7" borderId="14" xfId="0" applyNumberFormat="1" applyFont="1" applyFill="1" applyBorder="1" applyAlignment="1">
      <alignment horizontal="center" vertical="center"/>
    </xf>
    <xf numFmtId="0" fontId="10" fillId="0" borderId="15" xfId="0" applyFont="1" applyBorder="1" applyAlignment="1">
      <alignment vertical="center"/>
    </xf>
    <xf numFmtId="0" fontId="3" fillId="0" borderId="0" xfId="1" applyFont="1" applyAlignment="1">
      <alignment horizontal="left"/>
    </xf>
    <xf numFmtId="0" fontId="3" fillId="0" borderId="0" xfId="1" applyFont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A9189"/>
      <color rgb="FFFCAE7C"/>
      <color rgb="FFA3FFFF"/>
      <color rgb="FFF9FFB5"/>
      <color rgb="FFB3F5BC"/>
      <color rgb="FFECBAE7"/>
      <color rgb="FF97B2FF"/>
      <color rgb="FFCBB3FF"/>
      <color rgb="FFA4DAFE"/>
      <color rgb="FFD1B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://www.weightliftingwod.com/2012/11/advanced-progression-week-1-day-1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weightliftingwod.com/2012/11/advanced-progression-week-1-day-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9A20-414A-4F68-82F5-ACDA1DA5A18B}">
  <sheetPr codeName="Sheet1"/>
  <dimension ref="A1:L8"/>
  <sheetViews>
    <sheetView zoomScaleNormal="100" workbookViewId="0">
      <selection activeCell="B1" sqref="B1:B8"/>
    </sheetView>
  </sheetViews>
  <sheetFormatPr defaultRowHeight="11.25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7" ht="15" x14ac:dyDescent="0.2">
      <c r="A1" s="14" t="s">
        <v>0</v>
      </c>
      <c r="B1" s="22">
        <v>200</v>
      </c>
      <c r="C1" s="1"/>
      <c r="D1" s="1"/>
      <c r="E1" s="1"/>
      <c r="F1" s="1"/>
      <c r="G1" s="1"/>
    </row>
    <row r="2" spans="1:7" ht="15" x14ac:dyDescent="0.2">
      <c r="A2" s="15" t="s">
        <v>34</v>
      </c>
      <c r="B2" s="23">
        <v>140</v>
      </c>
      <c r="C2" s="1"/>
      <c r="D2" s="1"/>
      <c r="E2" s="1"/>
      <c r="F2" s="1"/>
      <c r="G2" s="1"/>
    </row>
    <row r="3" spans="1:7" ht="15" x14ac:dyDescent="0.2">
      <c r="A3" s="16" t="s">
        <v>173</v>
      </c>
      <c r="B3" s="24">
        <v>90</v>
      </c>
      <c r="C3" s="1"/>
      <c r="D3" s="1"/>
      <c r="E3" s="1"/>
      <c r="F3" s="1"/>
      <c r="G3" s="1"/>
    </row>
    <row r="4" spans="1:7" ht="15" x14ac:dyDescent="0.2">
      <c r="A4" s="17" t="s">
        <v>175</v>
      </c>
      <c r="B4" s="25">
        <v>110</v>
      </c>
      <c r="C4" s="1"/>
      <c r="D4" s="1"/>
      <c r="E4" s="1"/>
      <c r="F4" s="1"/>
      <c r="G4" s="1"/>
    </row>
    <row r="5" spans="1:7" ht="15" x14ac:dyDescent="0.2">
      <c r="A5" s="18" t="s">
        <v>42</v>
      </c>
      <c r="B5" s="26">
        <v>95</v>
      </c>
      <c r="C5" s="1"/>
      <c r="D5" s="1"/>
      <c r="E5" s="1"/>
      <c r="F5" s="1"/>
      <c r="G5" s="1"/>
    </row>
    <row r="6" spans="1:7" ht="15" x14ac:dyDescent="0.2">
      <c r="A6" s="19" t="s">
        <v>49</v>
      </c>
      <c r="B6" s="27">
        <v>115</v>
      </c>
      <c r="C6" s="1"/>
      <c r="D6" s="1"/>
      <c r="E6" s="1"/>
      <c r="F6" s="1"/>
      <c r="G6" s="1"/>
    </row>
    <row r="7" spans="1:7" ht="15" x14ac:dyDescent="0.2">
      <c r="A7" s="20" t="s">
        <v>176</v>
      </c>
      <c r="B7" s="38">
        <v>200</v>
      </c>
      <c r="C7" s="1"/>
      <c r="D7" s="1"/>
      <c r="E7" s="1"/>
      <c r="F7" s="1"/>
      <c r="G7" s="1"/>
    </row>
    <row r="8" spans="1:7" ht="15.75" thickBot="1" x14ac:dyDescent="0.25">
      <c r="A8" s="21" t="s">
        <v>23</v>
      </c>
      <c r="B8" s="39">
        <v>80</v>
      </c>
      <c r="C8" s="1"/>
      <c r="D8" s="1"/>
      <c r="E8" s="1"/>
      <c r="F8" s="1"/>
      <c r="G8" s="1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D569C-64B1-4CF6-A45A-8A0DA4759E2F}">
  <sheetPr codeName="Sheet2"/>
  <dimension ref="A1:L22"/>
  <sheetViews>
    <sheetView zoomScaleNormal="100" workbookViewId="0">
      <pane ySplit="1" topLeftCell="A2" activePane="bottomLeft" state="frozen"/>
      <selection pane="bottomLeft" activeCell="B27" sqref="B27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131</v>
      </c>
      <c r="E3" s="7">
        <v>0.6</v>
      </c>
      <c r="F3" s="42">
        <v>120</v>
      </c>
      <c r="G3" s="6" t="s">
        <v>103</v>
      </c>
      <c r="H3" s="7">
        <v>0.6</v>
      </c>
      <c r="I3" s="42">
        <v>120</v>
      </c>
      <c r="J3" s="6" t="s">
        <v>162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/>
      <c r="E4" s="8"/>
      <c r="F4" s="43"/>
      <c r="G4" s="6" t="s">
        <v>149</v>
      </c>
      <c r="H4" s="7">
        <v>0.7</v>
      </c>
      <c r="I4" s="42">
        <v>140</v>
      </c>
      <c r="J4" s="6"/>
      <c r="K4" s="8"/>
      <c r="L4" s="43"/>
    </row>
    <row r="5" spans="1:12" x14ac:dyDescent="0.15">
      <c r="A5" s="6" t="s">
        <v>96</v>
      </c>
      <c r="B5" s="7">
        <v>0.8</v>
      </c>
      <c r="C5" s="42">
        <v>160</v>
      </c>
      <c r="D5" s="29" t="s">
        <v>20</v>
      </c>
      <c r="E5" s="8"/>
      <c r="F5" s="43"/>
      <c r="G5" s="6"/>
      <c r="H5" s="8"/>
      <c r="I5" s="43"/>
      <c r="J5" s="29" t="s">
        <v>20</v>
      </c>
      <c r="K5" s="8"/>
      <c r="L5" s="43"/>
    </row>
    <row r="6" spans="1:12" x14ac:dyDescent="0.15">
      <c r="A6" s="6"/>
      <c r="B6" s="8"/>
      <c r="C6" s="43"/>
      <c r="D6" s="6" t="s">
        <v>96</v>
      </c>
      <c r="E6" s="7">
        <v>0.9</v>
      </c>
      <c r="F6" s="46">
        <v>99</v>
      </c>
      <c r="G6" s="29" t="s">
        <v>82</v>
      </c>
      <c r="H6" s="8"/>
      <c r="I6" s="43"/>
      <c r="J6" s="6" t="s">
        <v>135</v>
      </c>
      <c r="K6" s="7">
        <v>0.9</v>
      </c>
      <c r="L6" s="46">
        <v>99</v>
      </c>
    </row>
    <row r="7" spans="1:12" x14ac:dyDescent="0.15">
      <c r="A7" s="29" t="s">
        <v>83</v>
      </c>
      <c r="B7" s="8"/>
      <c r="C7" s="43"/>
      <c r="D7" s="6"/>
      <c r="E7" s="8"/>
      <c r="F7" s="43"/>
      <c r="G7" s="6" t="s">
        <v>97</v>
      </c>
      <c r="H7" s="7">
        <v>0.95</v>
      </c>
      <c r="I7" s="28">
        <v>90.25</v>
      </c>
      <c r="J7" s="6"/>
      <c r="K7" s="8"/>
      <c r="L7" s="43"/>
    </row>
    <row r="8" spans="1:12" x14ac:dyDescent="0.15">
      <c r="A8" s="6" t="s">
        <v>97</v>
      </c>
      <c r="B8" s="7">
        <v>0.9</v>
      </c>
      <c r="C8" s="28">
        <v>85.5</v>
      </c>
      <c r="D8" s="29" t="s">
        <v>84</v>
      </c>
      <c r="E8" s="8"/>
      <c r="F8" s="43"/>
      <c r="G8" s="6"/>
      <c r="H8" s="8"/>
      <c r="I8" s="43"/>
      <c r="J8" s="29" t="s">
        <v>23</v>
      </c>
      <c r="K8" s="8"/>
      <c r="L8" s="43"/>
    </row>
    <row r="9" spans="1:12" x14ac:dyDescent="0.15">
      <c r="A9" s="6"/>
      <c r="B9" s="8"/>
      <c r="C9" s="43"/>
      <c r="D9" s="6" t="s">
        <v>98</v>
      </c>
      <c r="E9" s="7">
        <v>0.6</v>
      </c>
      <c r="F9" s="46">
        <v>66</v>
      </c>
      <c r="G9" s="29" t="s">
        <v>85</v>
      </c>
      <c r="H9" s="8"/>
      <c r="I9" s="43"/>
      <c r="J9" s="6" t="s">
        <v>104</v>
      </c>
      <c r="K9" s="7">
        <v>0.6</v>
      </c>
      <c r="L9" s="47">
        <v>48</v>
      </c>
    </row>
    <row r="10" spans="1:12" x14ac:dyDescent="0.15">
      <c r="A10" s="29" t="s">
        <v>1</v>
      </c>
      <c r="B10" s="8"/>
      <c r="C10" s="43"/>
      <c r="D10" s="6" t="s">
        <v>99</v>
      </c>
      <c r="E10" s="7">
        <v>0.7</v>
      </c>
      <c r="F10" s="46">
        <v>77</v>
      </c>
      <c r="G10" s="6" t="s">
        <v>98</v>
      </c>
      <c r="H10" s="7">
        <v>0.6</v>
      </c>
      <c r="I10" s="28">
        <v>57</v>
      </c>
      <c r="J10" s="6"/>
      <c r="K10" s="8"/>
      <c r="L10" s="43"/>
    </row>
    <row r="11" spans="1:12" x14ac:dyDescent="0.15">
      <c r="A11" s="6" t="s">
        <v>98</v>
      </c>
      <c r="B11" s="7">
        <v>0.6</v>
      </c>
      <c r="C11" s="28">
        <v>57</v>
      </c>
      <c r="D11" s="6"/>
      <c r="E11" s="8"/>
      <c r="F11" s="43"/>
      <c r="G11" s="6" t="s">
        <v>99</v>
      </c>
      <c r="H11" s="7">
        <v>0.7</v>
      </c>
      <c r="I11" s="28">
        <v>66.5</v>
      </c>
      <c r="J11" s="6"/>
      <c r="K11" s="8"/>
      <c r="L11" s="43"/>
    </row>
    <row r="12" spans="1:12" x14ac:dyDescent="0.15">
      <c r="A12" s="6" t="s">
        <v>98</v>
      </c>
      <c r="B12" s="7">
        <v>0.7</v>
      </c>
      <c r="C12" s="28">
        <v>66.5</v>
      </c>
      <c r="D12" s="29" t="s">
        <v>21</v>
      </c>
      <c r="E12" s="8"/>
      <c r="F12" s="43"/>
      <c r="G12" s="6"/>
      <c r="H12" s="8"/>
      <c r="I12" s="43"/>
      <c r="J12" s="6"/>
      <c r="K12" s="8"/>
      <c r="L12" s="43"/>
    </row>
    <row r="13" spans="1:12" x14ac:dyDescent="0.15">
      <c r="A13" s="6" t="s">
        <v>98</v>
      </c>
      <c r="B13" s="7">
        <v>0.75</v>
      </c>
      <c r="C13" s="28">
        <v>71.25</v>
      </c>
      <c r="D13" s="6" t="s">
        <v>132</v>
      </c>
      <c r="E13" s="7">
        <v>0.6</v>
      </c>
      <c r="F13" s="46">
        <v>66</v>
      </c>
      <c r="G13" s="29" t="s">
        <v>2</v>
      </c>
      <c r="H13" s="8"/>
      <c r="I13" s="43"/>
      <c r="J13" s="6"/>
      <c r="K13" s="8"/>
      <c r="L13" s="43"/>
    </row>
    <row r="14" spans="1:12" x14ac:dyDescent="0.15">
      <c r="A14" s="6" t="s">
        <v>99</v>
      </c>
      <c r="B14" s="7">
        <v>0.8</v>
      </c>
      <c r="C14" s="28">
        <v>76</v>
      </c>
      <c r="D14" s="6" t="s">
        <v>133</v>
      </c>
      <c r="E14" s="7">
        <v>0.7</v>
      </c>
      <c r="F14" s="46">
        <v>77</v>
      </c>
      <c r="G14" s="6" t="s">
        <v>100</v>
      </c>
      <c r="H14" s="7">
        <v>0.6</v>
      </c>
      <c r="I14" s="28">
        <v>57</v>
      </c>
      <c r="J14" s="6"/>
      <c r="K14" s="8"/>
      <c r="L14" s="43"/>
    </row>
    <row r="15" spans="1:12" x14ac:dyDescent="0.15">
      <c r="A15" s="6"/>
      <c r="B15" s="8"/>
      <c r="C15" s="43"/>
      <c r="D15" s="6"/>
      <c r="E15" s="8"/>
      <c r="F15" s="43"/>
      <c r="G15" s="6" t="s">
        <v>150</v>
      </c>
      <c r="H15" s="7">
        <v>0.7</v>
      </c>
      <c r="I15" s="28">
        <v>66.5</v>
      </c>
      <c r="J15" s="6"/>
      <c r="K15" s="8"/>
      <c r="L15" s="43"/>
    </row>
    <row r="16" spans="1:12" x14ac:dyDescent="0.15">
      <c r="A16" s="29" t="s">
        <v>2</v>
      </c>
      <c r="B16" s="8"/>
      <c r="C16" s="43"/>
      <c r="D16" s="29" t="s">
        <v>22</v>
      </c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100</v>
      </c>
      <c r="B17" s="7">
        <v>0.6</v>
      </c>
      <c r="C17" s="28">
        <v>57</v>
      </c>
      <c r="D17" s="6" t="s">
        <v>134</v>
      </c>
      <c r="E17" s="7">
        <v>0.75</v>
      </c>
      <c r="F17" s="47">
        <v>60</v>
      </c>
      <c r="G17" s="29" t="s">
        <v>3</v>
      </c>
      <c r="H17" s="8"/>
      <c r="I17" s="43"/>
      <c r="J17" s="6"/>
      <c r="K17" s="8"/>
      <c r="L17" s="43"/>
    </row>
    <row r="18" spans="1:12" x14ac:dyDescent="0.15">
      <c r="A18" s="6" t="s">
        <v>100</v>
      </c>
      <c r="B18" s="7">
        <v>0.7</v>
      </c>
      <c r="C18" s="28">
        <v>66.5</v>
      </c>
      <c r="D18" s="6"/>
      <c r="E18" s="8"/>
      <c r="F18" s="43"/>
      <c r="G18" s="6" t="s">
        <v>151</v>
      </c>
      <c r="H18" s="7">
        <v>0.75</v>
      </c>
      <c r="I18" s="49">
        <v>67.5</v>
      </c>
      <c r="J18" s="6"/>
      <c r="K18" s="8"/>
      <c r="L18" s="43"/>
    </row>
    <row r="19" spans="1:12" x14ac:dyDescent="0.15">
      <c r="A19" s="6" t="s">
        <v>101</v>
      </c>
      <c r="B19" s="7">
        <v>0.8</v>
      </c>
      <c r="C19" s="28">
        <v>76</v>
      </c>
      <c r="D19" s="6"/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/>
      <c r="E20" s="8"/>
      <c r="F20" s="43"/>
      <c r="G20" s="6"/>
      <c r="H20" s="8"/>
      <c r="I20" s="43"/>
      <c r="J20" s="6"/>
      <c r="K20" s="8"/>
      <c r="L20" s="43"/>
    </row>
    <row r="21" spans="1:12" x14ac:dyDescent="0.15">
      <c r="A21" s="29" t="s">
        <v>3</v>
      </c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ht="12" thickBot="1" x14ac:dyDescent="0.2">
      <c r="A22" s="9" t="s">
        <v>102</v>
      </c>
      <c r="B22" s="36">
        <v>0.75</v>
      </c>
      <c r="C22" s="44">
        <v>67.5</v>
      </c>
      <c r="D22" s="9"/>
      <c r="E22" s="10"/>
      <c r="F22" s="48"/>
      <c r="G22" s="9"/>
      <c r="H22" s="10"/>
      <c r="I22" s="48"/>
      <c r="J22" s="9"/>
      <c r="K22" s="10"/>
      <c r="L22" s="4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198C5-C842-4027-9EEA-EB9B956948B4}">
  <sheetPr codeName="Sheet3"/>
  <dimension ref="A1:L3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1" t="s">
        <v>34</v>
      </c>
      <c r="H2" s="5"/>
      <c r="I2" s="41"/>
      <c r="J2" s="30" t="s">
        <v>35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105</v>
      </c>
      <c r="E3" s="7">
        <v>0.6</v>
      </c>
      <c r="F3" s="42">
        <v>120</v>
      </c>
      <c r="G3" s="11" t="s">
        <v>103</v>
      </c>
      <c r="H3" s="7">
        <v>0.6</v>
      </c>
      <c r="I3" s="52">
        <v>84</v>
      </c>
      <c r="J3" s="6" t="s">
        <v>36</v>
      </c>
      <c r="K3" s="8"/>
      <c r="L3" s="43"/>
    </row>
    <row r="4" spans="1:12" x14ac:dyDescent="0.15">
      <c r="A4" s="6" t="s">
        <v>103</v>
      </c>
      <c r="B4" s="7">
        <v>0.7</v>
      </c>
      <c r="C4" s="42">
        <v>140</v>
      </c>
      <c r="D4" s="6" t="s">
        <v>105</v>
      </c>
      <c r="E4" s="7">
        <v>0.7</v>
      </c>
      <c r="F4" s="42">
        <v>140</v>
      </c>
      <c r="G4" s="11" t="s">
        <v>103</v>
      </c>
      <c r="H4" s="7">
        <v>0.7</v>
      </c>
      <c r="I4" s="52">
        <v>98</v>
      </c>
      <c r="J4" s="6" t="s">
        <v>37</v>
      </c>
      <c r="K4" s="8"/>
      <c r="L4" s="43"/>
    </row>
    <row r="5" spans="1:12" x14ac:dyDescent="0.15">
      <c r="A5" s="6" t="s">
        <v>104</v>
      </c>
      <c r="B5" s="7">
        <v>0.8</v>
      </c>
      <c r="C5" s="42">
        <v>160</v>
      </c>
      <c r="D5" s="6" t="s">
        <v>135</v>
      </c>
      <c r="E5" s="7">
        <v>0.8</v>
      </c>
      <c r="F5" s="42">
        <v>160</v>
      </c>
      <c r="G5" s="11" t="s">
        <v>152</v>
      </c>
      <c r="H5" s="7">
        <v>0.8</v>
      </c>
      <c r="I5" s="52">
        <v>112</v>
      </c>
      <c r="J5" s="6"/>
      <c r="K5" s="8"/>
      <c r="L5" s="43"/>
    </row>
    <row r="6" spans="1:12" x14ac:dyDescent="0.15">
      <c r="A6" s="6"/>
      <c r="B6" s="8"/>
      <c r="C6" s="43"/>
      <c r="D6" s="6"/>
      <c r="E6" s="8"/>
      <c r="F6" s="43"/>
      <c r="G6" s="11" t="s">
        <v>174</v>
      </c>
      <c r="H6" s="7">
        <v>0.9</v>
      </c>
      <c r="I6" s="52">
        <v>126</v>
      </c>
      <c r="J6" s="29" t="s">
        <v>38</v>
      </c>
      <c r="K6" s="8"/>
      <c r="L6" s="43"/>
    </row>
    <row r="7" spans="1:12" x14ac:dyDescent="0.15">
      <c r="A7" s="29" t="s">
        <v>24</v>
      </c>
      <c r="B7" s="8"/>
      <c r="C7" s="43"/>
      <c r="D7" s="29" t="s">
        <v>1</v>
      </c>
      <c r="E7" s="8"/>
      <c r="F7" s="43"/>
      <c r="G7" s="11"/>
      <c r="H7" s="8"/>
      <c r="I7" s="43"/>
      <c r="J7" s="6" t="s">
        <v>163</v>
      </c>
      <c r="K7" s="7">
        <v>0.6</v>
      </c>
      <c r="L7" s="49">
        <v>54</v>
      </c>
    </row>
    <row r="8" spans="1:12" x14ac:dyDescent="0.15">
      <c r="A8" s="6" t="s">
        <v>105</v>
      </c>
      <c r="B8" s="7">
        <v>0.6</v>
      </c>
      <c r="C8" s="28">
        <v>57</v>
      </c>
      <c r="D8" s="6" t="s">
        <v>105</v>
      </c>
      <c r="E8" s="7">
        <v>0.6</v>
      </c>
      <c r="F8" s="28">
        <v>57</v>
      </c>
      <c r="G8" s="32" t="s">
        <v>24</v>
      </c>
      <c r="H8" s="8"/>
      <c r="I8" s="43"/>
      <c r="J8" s="6" t="s">
        <v>164</v>
      </c>
      <c r="K8" s="7">
        <v>0.7</v>
      </c>
      <c r="L8" s="49">
        <v>62.999999999999993</v>
      </c>
    </row>
    <row r="9" spans="1:12" x14ac:dyDescent="0.15">
      <c r="A9" s="6" t="s">
        <v>105</v>
      </c>
      <c r="B9" s="7">
        <v>0.7</v>
      </c>
      <c r="C9" s="28">
        <v>66.5</v>
      </c>
      <c r="D9" s="6" t="s">
        <v>105</v>
      </c>
      <c r="E9" s="7">
        <v>0.7</v>
      </c>
      <c r="F9" s="28">
        <v>66.5</v>
      </c>
      <c r="G9" s="11" t="s">
        <v>95</v>
      </c>
      <c r="H9" s="7">
        <v>0.6</v>
      </c>
      <c r="I9" s="28">
        <v>57</v>
      </c>
      <c r="J9" s="6"/>
      <c r="K9" s="8"/>
      <c r="L9" s="43"/>
    </row>
    <row r="10" spans="1:12" x14ac:dyDescent="0.15">
      <c r="A10" s="6" t="s">
        <v>106</v>
      </c>
      <c r="B10" s="7">
        <v>0.8</v>
      </c>
      <c r="C10" s="28">
        <v>76</v>
      </c>
      <c r="D10" s="6" t="s">
        <v>113</v>
      </c>
      <c r="E10" s="7">
        <v>0.75</v>
      </c>
      <c r="F10" s="28">
        <v>71.25</v>
      </c>
      <c r="G10" s="11" t="s">
        <v>95</v>
      </c>
      <c r="H10" s="7">
        <v>0.7</v>
      </c>
      <c r="I10" s="28">
        <v>66.5</v>
      </c>
      <c r="J10" s="29" t="s">
        <v>39</v>
      </c>
      <c r="K10" s="8"/>
      <c r="L10" s="43"/>
    </row>
    <row r="11" spans="1:12" x14ac:dyDescent="0.15">
      <c r="A11" s="6"/>
      <c r="B11" s="8"/>
      <c r="C11" s="43"/>
      <c r="D11" s="6" t="s">
        <v>95</v>
      </c>
      <c r="E11" s="7">
        <v>0.65</v>
      </c>
      <c r="F11" s="28">
        <v>61.75</v>
      </c>
      <c r="G11" s="11" t="s">
        <v>95</v>
      </c>
      <c r="H11" s="7">
        <v>0.8</v>
      </c>
      <c r="I11" s="28">
        <v>76</v>
      </c>
      <c r="J11" s="6" t="s">
        <v>165</v>
      </c>
      <c r="K11" s="7">
        <v>0.6</v>
      </c>
      <c r="L11" s="50">
        <v>69</v>
      </c>
    </row>
    <row r="12" spans="1:12" x14ac:dyDescent="0.15">
      <c r="A12" s="29" t="s">
        <v>25</v>
      </c>
      <c r="B12" s="8"/>
      <c r="C12" s="43"/>
      <c r="D12" s="6" t="s">
        <v>95</v>
      </c>
      <c r="E12" s="7">
        <v>0.7</v>
      </c>
      <c r="F12" s="28">
        <v>66.5</v>
      </c>
      <c r="G12" s="11" t="s">
        <v>113</v>
      </c>
      <c r="H12" s="7">
        <v>0.85</v>
      </c>
      <c r="I12" s="28">
        <v>80.75</v>
      </c>
      <c r="J12" s="6" t="s">
        <v>166</v>
      </c>
      <c r="K12" s="7">
        <v>0.7</v>
      </c>
      <c r="L12" s="50">
        <v>80.5</v>
      </c>
    </row>
    <row r="13" spans="1:12" x14ac:dyDescent="0.15">
      <c r="A13" s="6" t="s">
        <v>107</v>
      </c>
      <c r="B13" s="7">
        <v>0.6</v>
      </c>
      <c r="C13" s="50">
        <v>69</v>
      </c>
      <c r="D13" s="6"/>
      <c r="E13" s="8"/>
      <c r="F13" s="43"/>
      <c r="G13" s="11" t="s">
        <v>124</v>
      </c>
      <c r="H13" s="7">
        <v>0.8</v>
      </c>
      <c r="I13" s="28">
        <v>76</v>
      </c>
      <c r="J13" s="6"/>
      <c r="K13" s="8"/>
      <c r="L13" s="43"/>
    </row>
    <row r="14" spans="1:12" x14ac:dyDescent="0.15">
      <c r="A14" s="6" t="s">
        <v>107</v>
      </c>
      <c r="B14" s="7">
        <v>0.7</v>
      </c>
      <c r="C14" s="50">
        <v>80.5</v>
      </c>
      <c r="D14" s="29" t="s">
        <v>30</v>
      </c>
      <c r="E14" s="8"/>
      <c r="F14" s="43"/>
      <c r="G14" s="11"/>
      <c r="H14" s="8"/>
      <c r="I14" s="43"/>
      <c r="J14" s="29" t="s">
        <v>83</v>
      </c>
      <c r="K14" s="8"/>
      <c r="L14" s="43"/>
    </row>
    <row r="15" spans="1:12" x14ac:dyDescent="0.15">
      <c r="A15" s="6" t="s">
        <v>108</v>
      </c>
      <c r="B15" s="7">
        <v>0.8</v>
      </c>
      <c r="C15" s="50">
        <v>92</v>
      </c>
      <c r="D15" s="6" t="s">
        <v>136</v>
      </c>
      <c r="E15" s="7">
        <v>0.6</v>
      </c>
      <c r="F15" s="50">
        <v>69</v>
      </c>
      <c r="G15" s="32" t="s">
        <v>25</v>
      </c>
      <c r="H15" s="8"/>
      <c r="I15" s="43"/>
      <c r="J15" s="6" t="s">
        <v>104</v>
      </c>
      <c r="K15" s="7">
        <v>0.9</v>
      </c>
      <c r="L15" s="28">
        <v>85.5</v>
      </c>
    </row>
    <row r="16" spans="1:12" x14ac:dyDescent="0.15">
      <c r="A16" s="6" t="s">
        <v>109</v>
      </c>
      <c r="B16" s="7">
        <v>0.75</v>
      </c>
      <c r="C16" s="50">
        <v>86.25</v>
      </c>
      <c r="D16" s="6" t="s">
        <v>136</v>
      </c>
      <c r="E16" s="7">
        <v>0.7</v>
      </c>
      <c r="F16" s="50">
        <v>80.5</v>
      </c>
      <c r="G16" s="11" t="s">
        <v>108</v>
      </c>
      <c r="H16" s="7">
        <v>0.6</v>
      </c>
      <c r="I16" s="50">
        <v>69</v>
      </c>
      <c r="J16" s="6"/>
      <c r="K16" s="8"/>
      <c r="L16" s="43"/>
    </row>
    <row r="17" spans="1:12" x14ac:dyDescent="0.15">
      <c r="A17" s="6"/>
      <c r="B17" s="8"/>
      <c r="C17" s="43"/>
      <c r="D17" s="6" t="s">
        <v>137</v>
      </c>
      <c r="E17" s="7">
        <v>0.75</v>
      </c>
      <c r="F17" s="50">
        <v>86.25</v>
      </c>
      <c r="G17" s="11" t="s">
        <v>108</v>
      </c>
      <c r="H17" s="7">
        <v>0.7</v>
      </c>
      <c r="I17" s="50">
        <v>80.5</v>
      </c>
      <c r="J17" s="29" t="s">
        <v>0</v>
      </c>
      <c r="K17" s="8"/>
      <c r="L17" s="43"/>
    </row>
    <row r="18" spans="1:12" x14ac:dyDescent="0.15">
      <c r="A18" s="29" t="s">
        <v>26</v>
      </c>
      <c r="B18" s="8"/>
      <c r="C18" s="43"/>
      <c r="D18" s="6" t="s">
        <v>138</v>
      </c>
      <c r="E18" s="7">
        <v>0.7</v>
      </c>
      <c r="F18" s="50">
        <v>80.5</v>
      </c>
      <c r="G18" s="11" t="s">
        <v>153</v>
      </c>
      <c r="H18" s="7">
        <v>0.8</v>
      </c>
      <c r="I18" s="50">
        <v>92</v>
      </c>
      <c r="J18" s="6" t="s">
        <v>105</v>
      </c>
      <c r="K18" s="7">
        <v>0.6</v>
      </c>
      <c r="L18" s="42">
        <v>120</v>
      </c>
    </row>
    <row r="19" spans="1:12" x14ac:dyDescent="0.15">
      <c r="A19" s="6" t="s">
        <v>105</v>
      </c>
      <c r="B19" s="7">
        <v>0.6</v>
      </c>
      <c r="C19" s="47">
        <v>48</v>
      </c>
      <c r="D19" s="6"/>
      <c r="E19" s="8"/>
      <c r="F19" s="43"/>
      <c r="G19" s="11"/>
      <c r="H19" s="8"/>
      <c r="I19" s="43"/>
      <c r="J19" s="6" t="s">
        <v>105</v>
      </c>
      <c r="K19" s="7">
        <v>0.7</v>
      </c>
      <c r="L19" s="42">
        <v>140</v>
      </c>
    </row>
    <row r="20" spans="1:12" x14ac:dyDescent="0.15">
      <c r="A20" s="6" t="s">
        <v>105</v>
      </c>
      <c r="B20" s="7">
        <v>0.7</v>
      </c>
      <c r="C20" s="47">
        <v>56</v>
      </c>
      <c r="D20" s="29" t="s">
        <v>31</v>
      </c>
      <c r="E20" s="8"/>
      <c r="F20" s="43"/>
      <c r="G20" s="32" t="s">
        <v>86</v>
      </c>
      <c r="H20" s="8"/>
      <c r="I20" s="43"/>
      <c r="J20" s="6" t="s">
        <v>105</v>
      </c>
      <c r="K20" s="7">
        <v>0.8</v>
      </c>
      <c r="L20" s="42">
        <v>160</v>
      </c>
    </row>
    <row r="21" spans="1:12" x14ac:dyDescent="0.15">
      <c r="A21" s="6" t="s">
        <v>98</v>
      </c>
      <c r="B21" s="7">
        <v>0.75</v>
      </c>
      <c r="C21" s="47">
        <v>60</v>
      </c>
      <c r="D21" s="6" t="s">
        <v>103</v>
      </c>
      <c r="E21" s="7">
        <v>0.8</v>
      </c>
      <c r="F21" s="51">
        <v>160</v>
      </c>
      <c r="G21" s="11" t="s">
        <v>105</v>
      </c>
      <c r="H21" s="7">
        <v>0.8</v>
      </c>
      <c r="I21" s="46">
        <v>88</v>
      </c>
      <c r="J21" s="6" t="s">
        <v>95</v>
      </c>
      <c r="K21" s="7">
        <v>0.85</v>
      </c>
      <c r="L21" s="42">
        <v>170</v>
      </c>
    </row>
    <row r="22" spans="1:12" x14ac:dyDescent="0.15">
      <c r="A22" s="6" t="s">
        <v>105</v>
      </c>
      <c r="B22" s="7">
        <v>0.6</v>
      </c>
      <c r="C22" s="47">
        <v>48</v>
      </c>
      <c r="D22" s="6" t="s">
        <v>118</v>
      </c>
      <c r="E22" s="7">
        <v>0.85</v>
      </c>
      <c r="F22" s="51">
        <v>170</v>
      </c>
      <c r="G22" s="11" t="s">
        <v>118</v>
      </c>
      <c r="H22" s="7">
        <v>0.9</v>
      </c>
      <c r="I22" s="46">
        <v>99</v>
      </c>
      <c r="J22" s="6" t="s">
        <v>105</v>
      </c>
      <c r="K22" s="7">
        <v>0.8</v>
      </c>
      <c r="L22" s="42">
        <v>160</v>
      </c>
    </row>
    <row r="23" spans="1:12" x14ac:dyDescent="0.15">
      <c r="A23" s="6" t="s">
        <v>110</v>
      </c>
      <c r="B23" s="7">
        <v>0.7</v>
      </c>
      <c r="C23" s="47">
        <v>56</v>
      </c>
      <c r="D23" s="6"/>
      <c r="E23" s="8"/>
      <c r="F23" s="43"/>
      <c r="G23" s="11"/>
      <c r="H23" s="8"/>
      <c r="I23" s="43"/>
      <c r="J23" s="6" t="s">
        <v>113</v>
      </c>
      <c r="K23" s="7">
        <v>0.85</v>
      </c>
      <c r="L23" s="42">
        <v>170</v>
      </c>
    </row>
    <row r="24" spans="1:12" x14ac:dyDescent="0.15">
      <c r="A24" s="6"/>
      <c r="B24" s="8"/>
      <c r="C24" s="43"/>
      <c r="D24" s="29" t="s">
        <v>27</v>
      </c>
      <c r="E24" s="8"/>
      <c r="F24" s="43"/>
      <c r="G24" s="11"/>
      <c r="H24" s="8"/>
      <c r="I24" s="43"/>
      <c r="J24" s="6"/>
      <c r="K24" s="8"/>
      <c r="L24" s="43"/>
    </row>
    <row r="25" spans="1:12" x14ac:dyDescent="0.15">
      <c r="A25" s="29" t="s">
        <v>83</v>
      </c>
      <c r="B25" s="8"/>
      <c r="C25" s="43"/>
      <c r="D25" s="6" t="s">
        <v>32</v>
      </c>
      <c r="E25" s="8"/>
      <c r="F25" s="43"/>
      <c r="G25" s="11"/>
      <c r="H25" s="8"/>
      <c r="I25" s="43"/>
      <c r="J25" s="29" t="s">
        <v>27</v>
      </c>
      <c r="K25" s="8"/>
      <c r="L25" s="43"/>
    </row>
    <row r="26" spans="1:12" x14ac:dyDescent="0.15">
      <c r="A26" s="6" t="s">
        <v>111</v>
      </c>
      <c r="B26" s="7">
        <v>0.8</v>
      </c>
      <c r="C26" s="28">
        <v>76</v>
      </c>
      <c r="D26" s="6" t="s">
        <v>33</v>
      </c>
      <c r="E26" s="8"/>
      <c r="F26" s="43"/>
      <c r="G26" s="11"/>
      <c r="H26" s="8"/>
      <c r="I26" s="43"/>
      <c r="J26" s="6" t="s">
        <v>40</v>
      </c>
      <c r="K26" s="8"/>
      <c r="L26" s="43"/>
    </row>
    <row r="27" spans="1:12" x14ac:dyDescent="0.15">
      <c r="A27" s="6"/>
      <c r="B27" s="8"/>
      <c r="C27" s="43"/>
      <c r="D27" s="6"/>
      <c r="E27" s="8"/>
      <c r="F27" s="43"/>
      <c r="G27" s="11"/>
      <c r="H27" s="8"/>
      <c r="I27" s="43"/>
      <c r="J27" s="6" t="s">
        <v>41</v>
      </c>
      <c r="K27" s="8"/>
      <c r="L27" s="43"/>
    </row>
    <row r="28" spans="1:12" x14ac:dyDescent="0.15">
      <c r="A28" s="29" t="s">
        <v>27</v>
      </c>
      <c r="B28" s="8"/>
      <c r="C28" s="43"/>
      <c r="D28" s="6"/>
      <c r="E28" s="8"/>
      <c r="F28" s="43"/>
      <c r="G28" s="11"/>
      <c r="H28" s="8"/>
      <c r="I28" s="43"/>
      <c r="J28" s="6"/>
      <c r="K28" s="8"/>
      <c r="L28" s="43"/>
    </row>
    <row r="29" spans="1:12" x14ac:dyDescent="0.15">
      <c r="A29" s="6" t="s">
        <v>28</v>
      </c>
      <c r="B29" s="8"/>
      <c r="C29" s="43"/>
      <c r="D29" s="6"/>
      <c r="E29" s="8"/>
      <c r="F29" s="43"/>
      <c r="G29" s="11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11"/>
      <c r="H30" s="8"/>
      <c r="I30" s="43"/>
      <c r="J30" s="6"/>
      <c r="K30" s="8"/>
      <c r="L30" s="43"/>
    </row>
    <row r="31" spans="1:12" ht="12" thickBot="1" x14ac:dyDescent="0.2">
      <c r="A31" s="9" t="s">
        <v>29</v>
      </c>
      <c r="B31" s="10"/>
      <c r="C31" s="48"/>
      <c r="D31" s="9"/>
      <c r="E31" s="10"/>
      <c r="F31" s="48"/>
      <c r="G31" s="12"/>
      <c r="H31" s="10"/>
      <c r="I31" s="48"/>
      <c r="J31" s="9"/>
      <c r="K31" s="10"/>
      <c r="L31" s="4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EDBEF-D09D-48D4-BE62-25144C8D3756}">
  <sheetPr codeName="Sheet4"/>
  <dimension ref="A1:L43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1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95</v>
      </c>
      <c r="E3" s="7">
        <v>0.6</v>
      </c>
      <c r="F3" s="28">
        <v>57</v>
      </c>
      <c r="G3" s="6" t="s">
        <v>95</v>
      </c>
      <c r="H3" s="7">
        <v>0.6</v>
      </c>
      <c r="I3" s="42">
        <v>120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112</v>
      </c>
      <c r="B4" s="7">
        <v>0.7</v>
      </c>
      <c r="C4" s="42">
        <v>140</v>
      </c>
      <c r="D4" s="6" t="s">
        <v>95</v>
      </c>
      <c r="E4" s="7">
        <v>0.7</v>
      </c>
      <c r="F4" s="28">
        <v>66.5</v>
      </c>
      <c r="G4" s="6" t="s">
        <v>95</v>
      </c>
      <c r="H4" s="7">
        <v>0.7</v>
      </c>
      <c r="I4" s="42">
        <v>140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106</v>
      </c>
      <c r="B5" s="7">
        <v>0.8</v>
      </c>
      <c r="C5" s="42">
        <v>160</v>
      </c>
      <c r="D5" s="6" t="s">
        <v>98</v>
      </c>
      <c r="E5" s="7">
        <v>0.75</v>
      </c>
      <c r="F5" s="28">
        <v>71.25</v>
      </c>
      <c r="G5" s="6" t="s">
        <v>95</v>
      </c>
      <c r="H5" s="7">
        <v>0.8</v>
      </c>
      <c r="I5" s="42">
        <v>160</v>
      </c>
      <c r="J5" s="6" t="s">
        <v>95</v>
      </c>
      <c r="K5" s="7">
        <v>0.8</v>
      </c>
      <c r="L5" s="42">
        <v>160</v>
      </c>
    </row>
    <row r="6" spans="1:12" x14ac:dyDescent="0.15">
      <c r="A6" s="6" t="s">
        <v>113</v>
      </c>
      <c r="B6" s="7">
        <v>0.85</v>
      </c>
      <c r="C6" s="42">
        <v>170</v>
      </c>
      <c r="D6" s="6" t="s">
        <v>95</v>
      </c>
      <c r="E6" s="7">
        <v>0.6</v>
      </c>
      <c r="F6" s="28">
        <v>57</v>
      </c>
      <c r="G6" s="6" t="s">
        <v>95</v>
      </c>
      <c r="H6" s="7">
        <v>0.85</v>
      </c>
      <c r="I6" s="42">
        <v>170</v>
      </c>
      <c r="J6" s="6" t="s">
        <v>141</v>
      </c>
      <c r="K6" s="7">
        <v>0.9</v>
      </c>
      <c r="L6" s="42">
        <v>180</v>
      </c>
    </row>
    <row r="7" spans="1:12" x14ac:dyDescent="0.15">
      <c r="A7" s="6"/>
      <c r="B7" s="8"/>
      <c r="C7" s="43"/>
      <c r="D7" s="6" t="s">
        <v>113</v>
      </c>
      <c r="E7" s="7">
        <v>0.65</v>
      </c>
      <c r="F7" s="28">
        <v>61.75</v>
      </c>
      <c r="G7" s="6" t="s">
        <v>95</v>
      </c>
      <c r="H7" s="7">
        <v>0.9</v>
      </c>
      <c r="I7" s="42">
        <v>180</v>
      </c>
      <c r="J7" s="6"/>
      <c r="K7" s="8"/>
      <c r="L7" s="43"/>
    </row>
    <row r="8" spans="1:12" x14ac:dyDescent="0.15">
      <c r="A8" s="29" t="s">
        <v>42</v>
      </c>
      <c r="B8" s="8"/>
      <c r="C8" s="43"/>
      <c r="D8" s="6" t="s">
        <v>113</v>
      </c>
      <c r="E8" s="7">
        <v>0.7</v>
      </c>
      <c r="F8" s="28">
        <v>66.5</v>
      </c>
      <c r="G8" s="6" t="s">
        <v>95</v>
      </c>
      <c r="H8" s="7">
        <v>0.85</v>
      </c>
      <c r="I8" s="42">
        <v>170</v>
      </c>
      <c r="J8" s="29" t="s">
        <v>1</v>
      </c>
      <c r="K8" s="8"/>
      <c r="L8" s="43"/>
    </row>
    <row r="9" spans="1:12" x14ac:dyDescent="0.15">
      <c r="A9" s="6" t="s">
        <v>114</v>
      </c>
      <c r="B9" s="7">
        <v>0.6</v>
      </c>
      <c r="C9" s="28">
        <v>57</v>
      </c>
      <c r="D9" s="6"/>
      <c r="E9" s="8"/>
      <c r="F9" s="43"/>
      <c r="G9" s="6" t="s">
        <v>113</v>
      </c>
      <c r="H9" s="7">
        <v>0.9</v>
      </c>
      <c r="I9" s="42">
        <v>180</v>
      </c>
      <c r="J9" s="6" t="s">
        <v>95</v>
      </c>
      <c r="K9" s="7">
        <v>0.6</v>
      </c>
      <c r="L9" s="28">
        <v>57</v>
      </c>
    </row>
    <row r="10" spans="1:12" x14ac:dyDescent="0.15">
      <c r="A10" s="6" t="s">
        <v>95</v>
      </c>
      <c r="B10" s="7">
        <v>0.7</v>
      </c>
      <c r="C10" s="28">
        <v>66.5</v>
      </c>
      <c r="D10" s="29" t="s">
        <v>30</v>
      </c>
      <c r="E10" s="8"/>
      <c r="F10" s="43"/>
      <c r="G10" s="6"/>
      <c r="H10" s="8"/>
      <c r="I10" s="43"/>
      <c r="J10" s="6" t="s">
        <v>95</v>
      </c>
      <c r="K10" s="7">
        <v>0.65</v>
      </c>
      <c r="L10" s="28">
        <v>61.75</v>
      </c>
    </row>
    <row r="11" spans="1:12" x14ac:dyDescent="0.15">
      <c r="A11" s="6" t="s">
        <v>95</v>
      </c>
      <c r="B11" s="7">
        <v>0.8</v>
      </c>
      <c r="C11" s="28">
        <v>76</v>
      </c>
      <c r="D11" s="6" t="s">
        <v>139</v>
      </c>
      <c r="E11" s="7">
        <v>0.6</v>
      </c>
      <c r="F11" s="50">
        <v>69</v>
      </c>
      <c r="G11" s="29" t="s">
        <v>42</v>
      </c>
      <c r="H11" s="8"/>
      <c r="I11" s="43"/>
      <c r="J11" s="6" t="s">
        <v>95</v>
      </c>
      <c r="K11" s="7">
        <v>0.7</v>
      </c>
      <c r="L11" s="28">
        <v>66.5</v>
      </c>
    </row>
    <row r="12" spans="1:12" x14ac:dyDescent="0.15">
      <c r="A12" s="6" t="s">
        <v>98</v>
      </c>
      <c r="B12" s="7">
        <v>0.85</v>
      </c>
      <c r="C12" s="28">
        <v>80.75</v>
      </c>
      <c r="D12" s="6" t="s">
        <v>139</v>
      </c>
      <c r="E12" s="7">
        <v>0.7</v>
      </c>
      <c r="F12" s="50">
        <v>80.5</v>
      </c>
      <c r="G12" s="6" t="s">
        <v>113</v>
      </c>
      <c r="H12" s="7">
        <v>0.6</v>
      </c>
      <c r="I12" s="28">
        <v>57</v>
      </c>
      <c r="J12" s="6" t="s">
        <v>98</v>
      </c>
      <c r="K12" s="7">
        <v>0.75</v>
      </c>
      <c r="L12" s="28">
        <v>71.25</v>
      </c>
    </row>
    <row r="13" spans="1:12" x14ac:dyDescent="0.15">
      <c r="A13" s="6" t="s">
        <v>113</v>
      </c>
      <c r="B13" s="7">
        <v>0.8</v>
      </c>
      <c r="C13" s="28">
        <v>76</v>
      </c>
      <c r="D13" s="6" t="s">
        <v>140</v>
      </c>
      <c r="E13" s="7">
        <v>0.75</v>
      </c>
      <c r="F13" s="50">
        <v>86.25</v>
      </c>
      <c r="G13" s="6" t="s">
        <v>113</v>
      </c>
      <c r="H13" s="7">
        <v>0.7</v>
      </c>
      <c r="I13" s="28">
        <v>66.5</v>
      </c>
      <c r="J13" s="6" t="s">
        <v>95</v>
      </c>
      <c r="K13" s="7">
        <v>0.6</v>
      </c>
      <c r="L13" s="28">
        <v>57</v>
      </c>
    </row>
    <row r="14" spans="1:12" x14ac:dyDescent="0.15">
      <c r="A14" s="6" t="s">
        <v>98</v>
      </c>
      <c r="B14" s="7">
        <v>0.85</v>
      </c>
      <c r="C14" s="28">
        <v>80.75</v>
      </c>
      <c r="D14" s="6" t="s">
        <v>139</v>
      </c>
      <c r="E14" s="7">
        <v>0.6</v>
      </c>
      <c r="F14" s="50">
        <v>69</v>
      </c>
      <c r="G14" s="6" t="s">
        <v>113</v>
      </c>
      <c r="H14" s="7">
        <v>0.8</v>
      </c>
      <c r="I14" s="28">
        <v>76</v>
      </c>
      <c r="J14" s="6" t="s">
        <v>95</v>
      </c>
      <c r="K14" s="7">
        <v>0.65</v>
      </c>
      <c r="L14" s="28">
        <v>61.75</v>
      </c>
    </row>
    <row r="15" spans="1:12" x14ac:dyDescent="0.15">
      <c r="A15" s="6"/>
      <c r="B15" s="8"/>
      <c r="C15" s="43"/>
      <c r="D15" s="6" t="s">
        <v>139</v>
      </c>
      <c r="E15" s="7">
        <v>0.7</v>
      </c>
      <c r="F15" s="50">
        <v>80.5</v>
      </c>
      <c r="G15" s="6" t="s">
        <v>128</v>
      </c>
      <c r="H15" s="7">
        <v>0.85</v>
      </c>
      <c r="I15" s="28">
        <v>80.75</v>
      </c>
      <c r="J15" s="6" t="s">
        <v>95</v>
      </c>
      <c r="K15" s="7">
        <v>0.7</v>
      </c>
      <c r="L15" s="28">
        <v>66.5</v>
      </c>
    </row>
    <row r="16" spans="1:12" x14ac:dyDescent="0.15">
      <c r="A16" s="29" t="s">
        <v>43</v>
      </c>
      <c r="B16" s="8"/>
      <c r="C16" s="43"/>
      <c r="D16" s="6"/>
      <c r="E16" s="8"/>
      <c r="F16" s="43"/>
      <c r="G16" s="6"/>
      <c r="H16" s="8"/>
      <c r="I16" s="43"/>
      <c r="J16" s="6"/>
      <c r="K16" s="8"/>
      <c r="L16" s="43"/>
    </row>
    <row r="17" spans="1:12" x14ac:dyDescent="0.15">
      <c r="A17" s="6" t="s">
        <v>115</v>
      </c>
      <c r="B17" s="7">
        <v>0.6</v>
      </c>
      <c r="C17" s="50">
        <v>69</v>
      </c>
      <c r="D17" s="29" t="s">
        <v>31</v>
      </c>
      <c r="E17" s="8"/>
      <c r="F17" s="43"/>
      <c r="G17" s="29" t="s">
        <v>49</v>
      </c>
      <c r="H17" s="8"/>
      <c r="I17" s="43"/>
      <c r="J17" s="29" t="s">
        <v>50</v>
      </c>
      <c r="K17" s="8"/>
      <c r="L17" s="43"/>
    </row>
    <row r="18" spans="1:12" x14ac:dyDescent="0.15">
      <c r="A18" s="6" t="s">
        <v>115</v>
      </c>
      <c r="B18" s="7">
        <v>0.7</v>
      </c>
      <c r="C18" s="50">
        <v>80.5</v>
      </c>
      <c r="D18" s="6" t="s">
        <v>103</v>
      </c>
      <c r="E18" s="7">
        <v>0.8</v>
      </c>
      <c r="F18" s="51">
        <v>160</v>
      </c>
      <c r="G18" s="6" t="s">
        <v>144</v>
      </c>
      <c r="H18" s="7">
        <v>0.6</v>
      </c>
      <c r="I18" s="50">
        <v>69</v>
      </c>
      <c r="J18" s="6" t="s">
        <v>95</v>
      </c>
      <c r="K18" s="7">
        <v>0.6</v>
      </c>
      <c r="L18" s="46">
        <v>66</v>
      </c>
    </row>
    <row r="19" spans="1:12" x14ac:dyDescent="0.15">
      <c r="A19" s="6" t="s">
        <v>116</v>
      </c>
      <c r="B19" s="7">
        <v>0.8</v>
      </c>
      <c r="C19" s="50">
        <v>92</v>
      </c>
      <c r="D19" s="6" t="s">
        <v>110</v>
      </c>
      <c r="E19" s="7">
        <v>0.9</v>
      </c>
      <c r="F19" s="51">
        <v>180</v>
      </c>
      <c r="G19" s="6" t="s">
        <v>144</v>
      </c>
      <c r="H19" s="7">
        <v>0.7</v>
      </c>
      <c r="I19" s="50">
        <v>80.5</v>
      </c>
      <c r="J19" s="6" t="s">
        <v>95</v>
      </c>
      <c r="K19" s="7">
        <v>0.65</v>
      </c>
      <c r="L19" s="46">
        <v>71.5</v>
      </c>
    </row>
    <row r="20" spans="1:12" x14ac:dyDescent="0.15">
      <c r="A20" s="6" t="s">
        <v>117</v>
      </c>
      <c r="B20" s="7">
        <v>0.85</v>
      </c>
      <c r="C20" s="50">
        <v>97.75</v>
      </c>
      <c r="D20" s="6" t="s">
        <v>141</v>
      </c>
      <c r="E20" s="7">
        <v>1</v>
      </c>
      <c r="F20" s="51">
        <v>200</v>
      </c>
      <c r="G20" s="6" t="s">
        <v>144</v>
      </c>
      <c r="H20" s="7">
        <v>0.8</v>
      </c>
      <c r="I20" s="50">
        <v>92</v>
      </c>
      <c r="J20" s="6" t="s">
        <v>95</v>
      </c>
      <c r="K20" s="7">
        <v>0.7</v>
      </c>
      <c r="L20" s="46">
        <v>77</v>
      </c>
    </row>
    <row r="21" spans="1:12" x14ac:dyDescent="0.15">
      <c r="A21" s="6" t="s">
        <v>116</v>
      </c>
      <c r="B21" s="7">
        <v>0.8</v>
      </c>
      <c r="C21" s="50">
        <v>92</v>
      </c>
      <c r="D21" s="6"/>
      <c r="E21" s="8"/>
      <c r="F21" s="43"/>
      <c r="G21" s="6" t="s">
        <v>154</v>
      </c>
      <c r="H21" s="7">
        <v>0.85</v>
      </c>
      <c r="I21" s="50">
        <v>97.75</v>
      </c>
      <c r="J21" s="6" t="s">
        <v>98</v>
      </c>
      <c r="K21" s="7">
        <v>0.75</v>
      </c>
      <c r="L21" s="46">
        <v>82.5</v>
      </c>
    </row>
    <row r="22" spans="1:12" x14ac:dyDescent="0.15">
      <c r="A22" s="6" t="s">
        <v>117</v>
      </c>
      <c r="B22" s="7">
        <v>0.85</v>
      </c>
      <c r="C22" s="50">
        <v>97.75</v>
      </c>
      <c r="D22" s="29" t="s">
        <v>34</v>
      </c>
      <c r="E22" s="8"/>
      <c r="F22" s="43"/>
      <c r="G22" s="6"/>
      <c r="H22" s="8"/>
      <c r="I22" s="43"/>
      <c r="J22" s="6" t="s">
        <v>95</v>
      </c>
      <c r="K22" s="7">
        <v>0.6</v>
      </c>
      <c r="L22" s="46">
        <v>66</v>
      </c>
    </row>
    <row r="23" spans="1:12" x14ac:dyDescent="0.15">
      <c r="A23" s="6"/>
      <c r="B23" s="8"/>
      <c r="C23" s="43"/>
      <c r="D23" s="6" t="s">
        <v>95</v>
      </c>
      <c r="E23" s="7">
        <v>0.6</v>
      </c>
      <c r="F23" s="52">
        <v>84</v>
      </c>
      <c r="G23" s="29" t="s">
        <v>45</v>
      </c>
      <c r="H23" s="8"/>
      <c r="I23" s="43"/>
      <c r="J23" s="6" t="s">
        <v>95</v>
      </c>
      <c r="K23" s="7">
        <v>0.65</v>
      </c>
      <c r="L23" s="46">
        <v>71.5</v>
      </c>
    </row>
    <row r="24" spans="1:12" x14ac:dyDescent="0.15">
      <c r="A24" s="29" t="s">
        <v>44</v>
      </c>
      <c r="B24" s="8"/>
      <c r="C24" s="43"/>
      <c r="D24" s="6" t="s">
        <v>95</v>
      </c>
      <c r="E24" s="7">
        <v>0.7</v>
      </c>
      <c r="F24" s="52">
        <v>98</v>
      </c>
      <c r="G24" s="6" t="s">
        <v>95</v>
      </c>
      <c r="H24" s="7">
        <v>0.6</v>
      </c>
      <c r="I24" s="50">
        <v>69</v>
      </c>
      <c r="J24" s="6"/>
      <c r="K24" s="8"/>
      <c r="L24" s="43"/>
    </row>
    <row r="25" spans="1:12" x14ac:dyDescent="0.15">
      <c r="A25" s="6" t="s">
        <v>103</v>
      </c>
      <c r="B25" s="7">
        <v>0.8</v>
      </c>
      <c r="C25" s="46">
        <v>88</v>
      </c>
      <c r="D25" s="6" t="s">
        <v>95</v>
      </c>
      <c r="E25" s="7">
        <v>0.8</v>
      </c>
      <c r="F25" s="52">
        <v>112</v>
      </c>
      <c r="G25" s="6" t="s">
        <v>95</v>
      </c>
      <c r="H25" s="7">
        <v>0.65</v>
      </c>
      <c r="I25" s="50">
        <v>74.75</v>
      </c>
      <c r="J25" s="29" t="s">
        <v>86</v>
      </c>
      <c r="K25" s="8"/>
      <c r="L25" s="43"/>
    </row>
    <row r="26" spans="1:12" x14ac:dyDescent="0.15">
      <c r="A26" s="6" t="s">
        <v>118</v>
      </c>
      <c r="B26" s="7">
        <v>0.9</v>
      </c>
      <c r="C26" s="46">
        <v>99</v>
      </c>
      <c r="D26" s="6" t="s">
        <v>113</v>
      </c>
      <c r="E26" s="7">
        <v>0.85</v>
      </c>
      <c r="F26" s="52">
        <v>119</v>
      </c>
      <c r="G26" s="6" t="s">
        <v>95</v>
      </c>
      <c r="H26" s="7">
        <v>0.7</v>
      </c>
      <c r="I26" s="50">
        <v>80.5</v>
      </c>
      <c r="J26" s="6" t="s">
        <v>105</v>
      </c>
      <c r="K26" s="7">
        <v>0.9</v>
      </c>
      <c r="L26" s="46">
        <v>99</v>
      </c>
    </row>
    <row r="27" spans="1:12" x14ac:dyDescent="0.15">
      <c r="A27" s="6"/>
      <c r="B27" s="8"/>
      <c r="C27" s="43"/>
      <c r="D27" s="6" t="s">
        <v>98</v>
      </c>
      <c r="E27" s="7">
        <v>0.9</v>
      </c>
      <c r="F27" s="52">
        <v>126</v>
      </c>
      <c r="G27" s="6" t="s">
        <v>155</v>
      </c>
      <c r="H27" s="7">
        <v>0.75</v>
      </c>
      <c r="I27" s="50">
        <v>86.25</v>
      </c>
      <c r="J27" s="6" t="s">
        <v>95</v>
      </c>
      <c r="K27" s="7">
        <v>1</v>
      </c>
      <c r="L27" s="46">
        <v>110</v>
      </c>
    </row>
    <row r="28" spans="1:12" x14ac:dyDescent="0.15">
      <c r="A28" s="29" t="s">
        <v>45</v>
      </c>
      <c r="B28" s="8"/>
      <c r="C28" s="43"/>
      <c r="D28" s="6" t="s">
        <v>95</v>
      </c>
      <c r="E28" s="7">
        <v>0.8</v>
      </c>
      <c r="F28" s="52">
        <v>112</v>
      </c>
      <c r="G28" s="6" t="s">
        <v>95</v>
      </c>
      <c r="H28" s="7">
        <v>0.65</v>
      </c>
      <c r="I28" s="50">
        <v>74.75</v>
      </c>
      <c r="J28" s="6" t="s">
        <v>105</v>
      </c>
      <c r="K28" s="7">
        <v>0.9</v>
      </c>
      <c r="L28" s="46">
        <v>99</v>
      </c>
    </row>
    <row r="29" spans="1:12" x14ac:dyDescent="0.15">
      <c r="A29" s="6" t="s">
        <v>105</v>
      </c>
      <c r="B29" s="7">
        <v>0.6</v>
      </c>
      <c r="C29" s="50">
        <v>69</v>
      </c>
      <c r="D29" s="6" t="s">
        <v>98</v>
      </c>
      <c r="E29" s="7">
        <v>0.85</v>
      </c>
      <c r="F29" s="52">
        <v>119</v>
      </c>
      <c r="G29" s="6" t="s">
        <v>113</v>
      </c>
      <c r="H29" s="7">
        <v>0.7</v>
      </c>
      <c r="I29" s="50">
        <v>80.5</v>
      </c>
      <c r="J29" s="6" t="s">
        <v>113</v>
      </c>
      <c r="K29" s="7">
        <v>1</v>
      </c>
      <c r="L29" s="46">
        <v>110</v>
      </c>
    </row>
    <row r="30" spans="1:12" x14ac:dyDescent="0.15">
      <c r="A30" s="6" t="s">
        <v>105</v>
      </c>
      <c r="B30" s="7">
        <v>0.7</v>
      </c>
      <c r="C30" s="50">
        <v>80.5</v>
      </c>
      <c r="D30" s="6"/>
      <c r="E30" s="8"/>
      <c r="F30" s="43"/>
      <c r="G30" s="6"/>
      <c r="H30" s="8"/>
      <c r="I30" s="43"/>
      <c r="J30" s="6" t="s">
        <v>105</v>
      </c>
      <c r="K30" s="7">
        <v>0.9</v>
      </c>
      <c r="L30" s="46">
        <v>99</v>
      </c>
    </row>
    <row r="31" spans="1:12" x14ac:dyDescent="0.15">
      <c r="A31" s="6" t="s">
        <v>113</v>
      </c>
      <c r="B31" s="7">
        <v>0.75</v>
      </c>
      <c r="C31" s="50">
        <v>86.25</v>
      </c>
      <c r="D31" s="29" t="s">
        <v>47</v>
      </c>
      <c r="E31" s="8"/>
      <c r="F31" s="43"/>
      <c r="G31" s="29" t="s">
        <v>82</v>
      </c>
      <c r="H31" s="8"/>
      <c r="I31" s="43"/>
      <c r="J31" s="6"/>
      <c r="K31" s="8"/>
      <c r="L31" s="43"/>
    </row>
    <row r="32" spans="1:12" x14ac:dyDescent="0.15">
      <c r="A32" s="6" t="s">
        <v>105</v>
      </c>
      <c r="B32" s="7">
        <v>0.6</v>
      </c>
      <c r="C32" s="50">
        <v>69</v>
      </c>
      <c r="D32" s="6" t="s">
        <v>48</v>
      </c>
      <c r="E32" s="8"/>
      <c r="F32" s="43"/>
      <c r="G32" s="6" t="s">
        <v>103</v>
      </c>
      <c r="H32" s="7">
        <v>0.9</v>
      </c>
      <c r="I32" s="28">
        <v>85.5</v>
      </c>
      <c r="J32" s="29" t="s">
        <v>51</v>
      </c>
      <c r="K32" s="8"/>
      <c r="L32" s="43"/>
    </row>
    <row r="33" spans="1:12" x14ac:dyDescent="0.15">
      <c r="A33" s="6" t="s">
        <v>95</v>
      </c>
      <c r="B33" s="7">
        <v>0.7</v>
      </c>
      <c r="C33" s="50">
        <v>80.5</v>
      </c>
      <c r="D33" s="6" t="s">
        <v>37</v>
      </c>
      <c r="E33" s="8"/>
      <c r="F33" s="43"/>
      <c r="G33" s="6" t="s">
        <v>95</v>
      </c>
      <c r="H33" s="7">
        <v>1</v>
      </c>
      <c r="I33" s="28">
        <v>95</v>
      </c>
      <c r="J33" s="6" t="s">
        <v>167</v>
      </c>
      <c r="K33" s="7">
        <v>0.6</v>
      </c>
      <c r="L33" s="52">
        <v>84</v>
      </c>
    </row>
    <row r="34" spans="1:12" x14ac:dyDescent="0.15">
      <c r="A34" s="6"/>
      <c r="B34" s="8"/>
      <c r="C34" s="43"/>
      <c r="D34" s="6"/>
      <c r="E34" s="8"/>
      <c r="F34" s="43"/>
      <c r="G34" s="6" t="s">
        <v>113</v>
      </c>
      <c r="H34" s="7">
        <v>1.1000000000000001</v>
      </c>
      <c r="I34" s="28">
        <v>104.50000000000001</v>
      </c>
      <c r="J34" s="6" t="s">
        <v>167</v>
      </c>
      <c r="K34" s="7">
        <v>0.7</v>
      </c>
      <c r="L34" s="52">
        <v>98</v>
      </c>
    </row>
    <row r="35" spans="1:12" x14ac:dyDescent="0.15">
      <c r="A35" s="29" t="s">
        <v>27</v>
      </c>
      <c r="B35" s="8"/>
      <c r="C35" s="43"/>
      <c r="D35" s="29" t="s">
        <v>27</v>
      </c>
      <c r="E35" s="8"/>
      <c r="F35" s="43"/>
      <c r="G35" s="6" t="s">
        <v>103</v>
      </c>
      <c r="H35" s="7">
        <v>0.9</v>
      </c>
      <c r="I35" s="28">
        <v>85.5</v>
      </c>
      <c r="J35" s="6" t="s">
        <v>168</v>
      </c>
      <c r="K35" s="7">
        <v>0.8</v>
      </c>
      <c r="L35" s="52">
        <v>112</v>
      </c>
    </row>
    <row r="36" spans="1:12" x14ac:dyDescent="0.15">
      <c r="A36" s="6" t="s">
        <v>32</v>
      </c>
      <c r="B36" s="8"/>
      <c r="C36" s="43"/>
      <c r="D36" s="6" t="s">
        <v>40</v>
      </c>
      <c r="E36" s="8"/>
      <c r="F36" s="43"/>
      <c r="G36" s="6" t="s">
        <v>95</v>
      </c>
      <c r="H36" s="7">
        <v>1</v>
      </c>
      <c r="I36" s="28">
        <v>95</v>
      </c>
      <c r="J36" s="6"/>
      <c r="K36" s="8"/>
      <c r="L36" s="43"/>
    </row>
    <row r="37" spans="1:12" x14ac:dyDescent="0.15">
      <c r="A37" s="6" t="s">
        <v>46</v>
      </c>
      <c r="B37" s="8"/>
      <c r="C37" s="43"/>
      <c r="D37" s="6" t="s">
        <v>41</v>
      </c>
      <c r="E37" s="8"/>
      <c r="F37" s="43"/>
      <c r="G37" s="6" t="s">
        <v>113</v>
      </c>
      <c r="H37" s="7">
        <v>1.1000000000000001</v>
      </c>
      <c r="I37" s="28">
        <v>104.50000000000001</v>
      </c>
      <c r="J37" s="29" t="s">
        <v>27</v>
      </c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 t="s">
        <v>103</v>
      </c>
      <c r="H38" s="7">
        <v>0.9</v>
      </c>
      <c r="I38" s="28">
        <v>85.5</v>
      </c>
      <c r="J38" s="6" t="s">
        <v>52</v>
      </c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 t="s">
        <v>95</v>
      </c>
      <c r="H39" s="7">
        <v>1</v>
      </c>
      <c r="I39" s="28">
        <v>95</v>
      </c>
      <c r="J39" s="6" t="s">
        <v>41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 t="s">
        <v>113</v>
      </c>
      <c r="H40" s="7">
        <v>1.1000000000000001</v>
      </c>
      <c r="I40" s="28">
        <v>104.50000000000001</v>
      </c>
      <c r="J40" s="6"/>
      <c r="K40" s="8"/>
      <c r="L40" s="43"/>
    </row>
    <row r="41" spans="1:12" x14ac:dyDescent="0.15">
      <c r="A41" s="6"/>
      <c r="B41" s="8"/>
      <c r="C41" s="43"/>
      <c r="D41" s="6"/>
      <c r="E41" s="8"/>
      <c r="F41" s="43"/>
      <c r="G41" s="6" t="s">
        <v>103</v>
      </c>
      <c r="H41" s="7">
        <v>0.9</v>
      </c>
      <c r="I41" s="28">
        <v>85.5</v>
      </c>
      <c r="J41" s="6"/>
      <c r="K41" s="8"/>
      <c r="L41" s="43"/>
    </row>
    <row r="42" spans="1:12" x14ac:dyDescent="0.15">
      <c r="A42" s="6"/>
      <c r="B42" s="8"/>
      <c r="C42" s="43"/>
      <c r="D42" s="6"/>
      <c r="E42" s="8"/>
      <c r="F42" s="43"/>
      <c r="G42" s="6" t="s">
        <v>95</v>
      </c>
      <c r="H42" s="7">
        <v>1</v>
      </c>
      <c r="I42" s="28">
        <v>95</v>
      </c>
      <c r="J42" s="6"/>
      <c r="K42" s="8"/>
      <c r="L42" s="43"/>
    </row>
    <row r="43" spans="1:12" ht="12" thickBot="1" x14ac:dyDescent="0.2">
      <c r="A43" s="9"/>
      <c r="B43" s="10"/>
      <c r="C43" s="48"/>
      <c r="D43" s="9"/>
      <c r="E43" s="10"/>
      <c r="F43" s="48"/>
      <c r="G43" s="9" t="s">
        <v>113</v>
      </c>
      <c r="H43" s="36">
        <v>1.1000000000000001</v>
      </c>
      <c r="I43" s="37">
        <v>104.50000000000001</v>
      </c>
      <c r="J43" s="9"/>
      <c r="K43" s="10"/>
      <c r="L43" s="4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B4FEA-0ECC-440B-8527-A6C603F88071}">
  <sheetPr codeName="Sheet5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53</v>
      </c>
      <c r="B2" s="5"/>
      <c r="C2" s="41"/>
      <c r="D2" s="30" t="s">
        <v>34</v>
      </c>
      <c r="E2" s="5"/>
      <c r="F2" s="41"/>
      <c r="G2" s="30" t="s">
        <v>61</v>
      </c>
      <c r="H2" s="5"/>
      <c r="I2" s="41"/>
      <c r="J2" s="30" t="s">
        <v>0</v>
      </c>
      <c r="K2" s="5"/>
      <c r="L2" s="41"/>
    </row>
    <row r="3" spans="1:12" x14ac:dyDescent="0.15">
      <c r="A3" s="6" t="s">
        <v>119</v>
      </c>
      <c r="B3" s="7">
        <v>0.6</v>
      </c>
      <c r="C3" s="28">
        <v>57</v>
      </c>
      <c r="D3" s="6" t="s">
        <v>95</v>
      </c>
      <c r="E3" s="7">
        <v>0.6</v>
      </c>
      <c r="F3" s="52">
        <v>84</v>
      </c>
      <c r="G3" s="6" t="s">
        <v>103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119</v>
      </c>
      <c r="B4" s="7">
        <v>0.7</v>
      </c>
      <c r="C4" s="28">
        <v>66.5</v>
      </c>
      <c r="D4" s="6" t="s">
        <v>95</v>
      </c>
      <c r="E4" s="7">
        <v>0.7</v>
      </c>
      <c r="F4" s="52">
        <v>98</v>
      </c>
      <c r="G4" s="6" t="s">
        <v>103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120</v>
      </c>
      <c r="B5" s="7">
        <v>0.8</v>
      </c>
      <c r="C5" s="28">
        <v>76</v>
      </c>
      <c r="D5" s="6" t="s">
        <v>95</v>
      </c>
      <c r="E5" s="7">
        <v>0.8</v>
      </c>
      <c r="F5" s="52">
        <v>112</v>
      </c>
      <c r="G5" s="6" t="s">
        <v>105</v>
      </c>
      <c r="H5" s="7">
        <v>0.8</v>
      </c>
      <c r="I5" s="42">
        <v>160</v>
      </c>
      <c r="J5" s="6" t="s">
        <v>105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52">
        <v>119</v>
      </c>
      <c r="G6" s="6" t="s">
        <v>105</v>
      </c>
      <c r="H6" s="7">
        <v>0.85</v>
      </c>
      <c r="I6" s="42">
        <v>170</v>
      </c>
      <c r="J6" s="6" t="s">
        <v>104</v>
      </c>
      <c r="K6" s="7">
        <v>0.85</v>
      </c>
      <c r="L6" s="42">
        <v>170</v>
      </c>
    </row>
    <row r="7" spans="1:12" x14ac:dyDescent="0.15">
      <c r="A7" s="29" t="s">
        <v>54</v>
      </c>
      <c r="B7" s="8"/>
      <c r="C7" s="43"/>
      <c r="D7" s="6" t="s">
        <v>113</v>
      </c>
      <c r="E7" s="7">
        <v>0.9</v>
      </c>
      <c r="F7" s="52">
        <v>126</v>
      </c>
      <c r="G7" s="6"/>
      <c r="H7" s="8"/>
      <c r="I7" s="43"/>
      <c r="J7" s="6"/>
      <c r="K7" s="8"/>
      <c r="L7" s="43"/>
    </row>
    <row r="8" spans="1:12" x14ac:dyDescent="0.15">
      <c r="A8" s="6" t="s">
        <v>121</v>
      </c>
      <c r="B8" s="7">
        <v>0.6</v>
      </c>
      <c r="C8" s="46">
        <v>66</v>
      </c>
      <c r="D8" s="6" t="s">
        <v>95</v>
      </c>
      <c r="E8" s="7">
        <v>0.9</v>
      </c>
      <c r="F8" s="52">
        <v>126</v>
      </c>
      <c r="G8" s="29" t="s">
        <v>42</v>
      </c>
      <c r="H8" s="8"/>
      <c r="I8" s="43"/>
      <c r="J8" s="29" t="s">
        <v>42</v>
      </c>
      <c r="K8" s="8"/>
      <c r="L8" s="43"/>
    </row>
    <row r="9" spans="1:12" x14ac:dyDescent="0.15">
      <c r="A9" s="6" t="s">
        <v>121</v>
      </c>
      <c r="B9" s="7">
        <v>0.7</v>
      </c>
      <c r="C9" s="46">
        <v>77</v>
      </c>
      <c r="D9" s="6" t="s">
        <v>95</v>
      </c>
      <c r="E9" s="7">
        <v>0.85</v>
      </c>
      <c r="F9" s="52">
        <v>119</v>
      </c>
      <c r="G9" s="6" t="s">
        <v>113</v>
      </c>
      <c r="H9" s="7">
        <v>0.6</v>
      </c>
      <c r="I9" s="28">
        <v>57</v>
      </c>
      <c r="J9" s="6" t="s">
        <v>113</v>
      </c>
      <c r="K9" s="7">
        <v>0.6</v>
      </c>
      <c r="L9" s="28">
        <v>57</v>
      </c>
    </row>
    <row r="10" spans="1:12" x14ac:dyDescent="0.15">
      <c r="A10" s="6" t="s">
        <v>122</v>
      </c>
      <c r="B10" s="7">
        <v>0.8</v>
      </c>
      <c r="C10" s="46">
        <v>88</v>
      </c>
      <c r="D10" s="6"/>
      <c r="E10" s="8"/>
      <c r="F10" s="43"/>
      <c r="G10" s="6" t="s">
        <v>113</v>
      </c>
      <c r="H10" s="7">
        <v>0.7</v>
      </c>
      <c r="I10" s="28">
        <v>66.5</v>
      </c>
      <c r="J10" s="6" t="s">
        <v>113</v>
      </c>
      <c r="K10" s="7">
        <v>0.7</v>
      </c>
      <c r="L10" s="28">
        <v>66.5</v>
      </c>
    </row>
    <row r="11" spans="1:12" x14ac:dyDescent="0.15">
      <c r="A11" s="6"/>
      <c r="B11" s="8"/>
      <c r="C11" s="43"/>
      <c r="D11" s="29" t="s">
        <v>60</v>
      </c>
      <c r="E11" s="8"/>
      <c r="F11" s="43"/>
      <c r="G11" s="6" t="s">
        <v>113</v>
      </c>
      <c r="H11" s="7">
        <v>0.8</v>
      </c>
      <c r="I11" s="28">
        <v>76</v>
      </c>
      <c r="J11" s="6" t="s">
        <v>113</v>
      </c>
      <c r="K11" s="7">
        <v>0.8</v>
      </c>
      <c r="L11" s="28">
        <v>76</v>
      </c>
    </row>
    <row r="12" spans="1:12" x14ac:dyDescent="0.15">
      <c r="A12" s="29" t="s">
        <v>55</v>
      </c>
      <c r="B12" s="8"/>
      <c r="C12" s="43"/>
      <c r="D12" s="6" t="s">
        <v>142</v>
      </c>
      <c r="E12" s="7">
        <v>0.6</v>
      </c>
      <c r="F12" s="28">
        <v>57</v>
      </c>
      <c r="G12" s="6" t="s">
        <v>98</v>
      </c>
      <c r="H12" s="7">
        <v>0.85</v>
      </c>
      <c r="I12" s="28">
        <v>80.75</v>
      </c>
      <c r="J12" s="6" t="s">
        <v>98</v>
      </c>
      <c r="K12" s="7">
        <v>0.85</v>
      </c>
      <c r="L12" s="28">
        <v>80.75</v>
      </c>
    </row>
    <row r="13" spans="1:12" x14ac:dyDescent="0.15">
      <c r="A13" s="6" t="s">
        <v>95</v>
      </c>
      <c r="B13" s="7">
        <v>0.6</v>
      </c>
      <c r="C13" s="50">
        <v>69</v>
      </c>
      <c r="D13" s="6" t="s">
        <v>142</v>
      </c>
      <c r="E13" s="7">
        <v>0.65</v>
      </c>
      <c r="F13" s="28">
        <v>61.75</v>
      </c>
      <c r="G13" s="6" t="s">
        <v>98</v>
      </c>
      <c r="H13" s="7">
        <v>0.9</v>
      </c>
      <c r="I13" s="28">
        <v>85.5</v>
      </c>
      <c r="J13" s="6" t="s">
        <v>98</v>
      </c>
      <c r="K13" s="7">
        <v>0.9</v>
      </c>
      <c r="L13" s="28">
        <v>85.5</v>
      </c>
    </row>
    <row r="14" spans="1:12" x14ac:dyDescent="0.15">
      <c r="A14" s="6" t="s">
        <v>95</v>
      </c>
      <c r="B14" s="7">
        <v>0.7</v>
      </c>
      <c r="C14" s="50">
        <v>80.5</v>
      </c>
      <c r="D14" s="6" t="s">
        <v>143</v>
      </c>
      <c r="E14" s="7">
        <v>0.7</v>
      </c>
      <c r="F14" s="28">
        <v>66.5</v>
      </c>
      <c r="G14" s="6"/>
      <c r="H14" s="8"/>
      <c r="I14" s="43"/>
      <c r="J14" s="6"/>
      <c r="K14" s="8"/>
      <c r="L14" s="43"/>
    </row>
    <row r="15" spans="1:12" x14ac:dyDescent="0.15">
      <c r="A15" s="6" t="s">
        <v>113</v>
      </c>
      <c r="B15" s="7">
        <v>0.8</v>
      </c>
      <c r="C15" s="50">
        <v>92</v>
      </c>
      <c r="D15" s="6" t="s">
        <v>142</v>
      </c>
      <c r="E15" s="7">
        <v>0.6</v>
      </c>
      <c r="F15" s="28">
        <v>57</v>
      </c>
      <c r="G15" s="29" t="s">
        <v>43</v>
      </c>
      <c r="H15" s="8"/>
      <c r="I15" s="43"/>
      <c r="J15" s="29" t="s">
        <v>43</v>
      </c>
      <c r="K15" s="8"/>
      <c r="L15" s="43"/>
    </row>
    <row r="16" spans="1:12" x14ac:dyDescent="0.15">
      <c r="A16" s="6" t="s">
        <v>113</v>
      </c>
      <c r="B16" s="7">
        <v>0.85</v>
      </c>
      <c r="C16" s="50">
        <v>97.75</v>
      </c>
      <c r="D16" s="6" t="s">
        <v>142</v>
      </c>
      <c r="E16" s="7">
        <v>0.65</v>
      </c>
      <c r="F16" s="28">
        <v>61.75</v>
      </c>
      <c r="G16" s="6" t="s">
        <v>144</v>
      </c>
      <c r="H16" s="7">
        <v>0.6</v>
      </c>
      <c r="I16" s="50">
        <v>69</v>
      </c>
      <c r="J16" s="6" t="s">
        <v>169</v>
      </c>
      <c r="K16" s="7">
        <v>0.6</v>
      </c>
      <c r="L16" s="50">
        <v>69</v>
      </c>
    </row>
    <row r="17" spans="1:12" x14ac:dyDescent="0.15">
      <c r="A17" s="6" t="s">
        <v>98</v>
      </c>
      <c r="B17" s="7">
        <v>0.9</v>
      </c>
      <c r="C17" s="50">
        <v>103.5</v>
      </c>
      <c r="D17" s="6" t="s">
        <v>143</v>
      </c>
      <c r="E17" s="7">
        <v>0.7</v>
      </c>
      <c r="F17" s="28">
        <v>66.5</v>
      </c>
      <c r="G17" s="6" t="s">
        <v>144</v>
      </c>
      <c r="H17" s="7">
        <v>0.7</v>
      </c>
      <c r="I17" s="50">
        <v>80.5</v>
      </c>
      <c r="J17" s="6" t="s">
        <v>169</v>
      </c>
      <c r="K17" s="7">
        <v>0.7</v>
      </c>
      <c r="L17" s="50">
        <v>80.5</v>
      </c>
    </row>
    <row r="18" spans="1:12" x14ac:dyDescent="0.15">
      <c r="A18" s="6" t="s">
        <v>123</v>
      </c>
      <c r="B18" s="7">
        <v>0.95</v>
      </c>
      <c r="C18" s="50">
        <v>109.25</v>
      </c>
      <c r="D18" s="6" t="s">
        <v>142</v>
      </c>
      <c r="E18" s="7">
        <v>0.6</v>
      </c>
      <c r="F18" s="28">
        <v>57</v>
      </c>
      <c r="G18" s="6" t="s">
        <v>144</v>
      </c>
      <c r="H18" s="7">
        <v>0.8</v>
      </c>
      <c r="I18" s="50">
        <v>92</v>
      </c>
      <c r="J18" s="6" t="s">
        <v>169</v>
      </c>
      <c r="K18" s="7">
        <v>0.8</v>
      </c>
      <c r="L18" s="50">
        <v>92</v>
      </c>
    </row>
    <row r="19" spans="1:12" x14ac:dyDescent="0.15">
      <c r="A19" s="6" t="s">
        <v>113</v>
      </c>
      <c r="B19" s="7">
        <v>0.8</v>
      </c>
      <c r="C19" s="50">
        <v>92</v>
      </c>
      <c r="D19" s="6" t="s">
        <v>142</v>
      </c>
      <c r="E19" s="7">
        <v>0.65</v>
      </c>
      <c r="F19" s="28">
        <v>61.75</v>
      </c>
      <c r="G19" s="6" t="s">
        <v>117</v>
      </c>
      <c r="H19" s="7">
        <v>0.85</v>
      </c>
      <c r="I19" s="50">
        <v>97.75</v>
      </c>
      <c r="J19" s="6" t="s">
        <v>170</v>
      </c>
      <c r="K19" s="7">
        <v>0.85</v>
      </c>
      <c r="L19" s="50">
        <v>97.75</v>
      </c>
    </row>
    <row r="20" spans="1:12" x14ac:dyDescent="0.15">
      <c r="A20" s="6" t="s">
        <v>113</v>
      </c>
      <c r="B20" s="7">
        <v>0.85</v>
      </c>
      <c r="C20" s="50">
        <v>97.75</v>
      </c>
      <c r="D20" s="6" t="s">
        <v>143</v>
      </c>
      <c r="E20" s="7">
        <v>0.7</v>
      </c>
      <c r="F20" s="28">
        <v>66.5</v>
      </c>
      <c r="G20" s="6" t="s">
        <v>117</v>
      </c>
      <c r="H20" s="7">
        <v>0.9</v>
      </c>
      <c r="I20" s="50">
        <v>103.5</v>
      </c>
      <c r="J20" s="6" t="s">
        <v>170</v>
      </c>
      <c r="K20" s="7">
        <v>0.9</v>
      </c>
      <c r="L20" s="50">
        <v>103.5</v>
      </c>
    </row>
    <row r="21" spans="1:12" x14ac:dyDescent="0.15">
      <c r="A21" s="6"/>
      <c r="B21" s="8"/>
      <c r="C21" s="43"/>
      <c r="D21" s="6"/>
      <c r="E21" s="8"/>
      <c r="F21" s="43"/>
      <c r="G21" s="6"/>
      <c r="H21" s="8"/>
      <c r="I21" s="43"/>
      <c r="J21" s="6"/>
      <c r="K21" s="8"/>
      <c r="L21" s="43"/>
    </row>
    <row r="22" spans="1:12" x14ac:dyDescent="0.15">
      <c r="A22" s="6" t="s">
        <v>56</v>
      </c>
      <c r="B22" s="8"/>
      <c r="C22" s="43"/>
      <c r="D22" s="29" t="s">
        <v>20</v>
      </c>
      <c r="E22" s="8"/>
      <c r="F22" s="43"/>
      <c r="G22" s="29" t="s">
        <v>83</v>
      </c>
      <c r="H22" s="8"/>
      <c r="I22" s="43"/>
      <c r="J22" s="29" t="s">
        <v>23</v>
      </c>
      <c r="K22" s="8"/>
      <c r="L22" s="43"/>
    </row>
    <row r="23" spans="1:12" x14ac:dyDescent="0.15">
      <c r="A23" s="6"/>
      <c r="B23" s="8"/>
      <c r="C23" s="43"/>
      <c r="D23" s="6" t="s">
        <v>105</v>
      </c>
      <c r="E23" s="7">
        <v>0.9</v>
      </c>
      <c r="F23" s="46">
        <v>99</v>
      </c>
      <c r="G23" s="6" t="s">
        <v>118</v>
      </c>
      <c r="H23" s="7">
        <v>1</v>
      </c>
      <c r="I23" s="28">
        <v>95</v>
      </c>
      <c r="J23" s="6" t="s">
        <v>105</v>
      </c>
      <c r="K23" s="7">
        <v>0.6</v>
      </c>
      <c r="L23" s="47">
        <v>48</v>
      </c>
    </row>
    <row r="24" spans="1:12" x14ac:dyDescent="0.15">
      <c r="A24" s="29" t="s">
        <v>0</v>
      </c>
      <c r="B24" s="8"/>
      <c r="C24" s="43"/>
      <c r="D24" s="6" t="s">
        <v>95</v>
      </c>
      <c r="E24" s="7">
        <v>1</v>
      </c>
      <c r="F24" s="46">
        <v>110</v>
      </c>
      <c r="G24" s="6"/>
      <c r="H24" s="8"/>
      <c r="I24" s="43"/>
      <c r="J24" s="6" t="s">
        <v>105</v>
      </c>
      <c r="K24" s="7">
        <v>0.65</v>
      </c>
      <c r="L24" s="47">
        <v>52</v>
      </c>
    </row>
    <row r="25" spans="1:12" x14ac:dyDescent="0.15">
      <c r="A25" s="6" t="s">
        <v>105</v>
      </c>
      <c r="B25" s="7">
        <v>0.6</v>
      </c>
      <c r="C25" s="42">
        <v>120</v>
      </c>
      <c r="D25" s="6" t="s">
        <v>105</v>
      </c>
      <c r="E25" s="7">
        <v>0.9</v>
      </c>
      <c r="F25" s="46">
        <v>99</v>
      </c>
      <c r="G25" s="29" t="s">
        <v>47</v>
      </c>
      <c r="H25" s="8"/>
      <c r="I25" s="43"/>
      <c r="J25" s="6" t="s">
        <v>105</v>
      </c>
      <c r="K25" s="7">
        <v>0.7</v>
      </c>
      <c r="L25" s="47">
        <v>56</v>
      </c>
    </row>
    <row r="26" spans="1:12" x14ac:dyDescent="0.15">
      <c r="A26" s="6" t="s">
        <v>105</v>
      </c>
      <c r="B26" s="7">
        <v>0.7</v>
      </c>
      <c r="C26" s="42">
        <v>140</v>
      </c>
      <c r="D26" s="6" t="s">
        <v>113</v>
      </c>
      <c r="E26" s="7">
        <v>1</v>
      </c>
      <c r="F26" s="46">
        <v>110</v>
      </c>
      <c r="G26" s="6" t="s">
        <v>62</v>
      </c>
      <c r="H26" s="8"/>
      <c r="I26" s="43"/>
      <c r="J26" s="6" t="s">
        <v>105</v>
      </c>
      <c r="K26" s="7">
        <v>0.6</v>
      </c>
      <c r="L26" s="47">
        <v>48</v>
      </c>
    </row>
    <row r="27" spans="1:12" x14ac:dyDescent="0.15">
      <c r="A27" s="6" t="s">
        <v>105</v>
      </c>
      <c r="B27" s="7">
        <v>0.8</v>
      </c>
      <c r="C27" s="42">
        <v>160</v>
      </c>
      <c r="D27" s="6" t="s">
        <v>105</v>
      </c>
      <c r="E27" s="7">
        <v>0.9</v>
      </c>
      <c r="F27" s="46">
        <v>99</v>
      </c>
      <c r="G27" s="6" t="s">
        <v>37</v>
      </c>
      <c r="H27" s="8"/>
      <c r="I27" s="43"/>
      <c r="J27" s="6" t="s">
        <v>95</v>
      </c>
      <c r="K27" s="7">
        <v>0.65</v>
      </c>
      <c r="L27" s="47">
        <v>52</v>
      </c>
    </row>
    <row r="28" spans="1:12" x14ac:dyDescent="0.15">
      <c r="A28" s="6" t="s">
        <v>124</v>
      </c>
      <c r="B28" s="7">
        <v>0.85</v>
      </c>
      <c r="C28" s="42">
        <v>170</v>
      </c>
      <c r="D28" s="6"/>
      <c r="E28" s="8"/>
      <c r="F28" s="43"/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29" t="s">
        <v>58</v>
      </c>
      <c r="H29" s="8"/>
      <c r="I29" s="43"/>
      <c r="J29" s="29" t="s">
        <v>83</v>
      </c>
      <c r="K29" s="8"/>
      <c r="L29" s="43"/>
    </row>
    <row r="30" spans="1:12" x14ac:dyDescent="0.15">
      <c r="A30" s="29" t="s">
        <v>47</v>
      </c>
      <c r="B30" s="8"/>
      <c r="C30" s="43"/>
      <c r="D30" s="6"/>
      <c r="E30" s="8"/>
      <c r="F30" s="43"/>
      <c r="G30" s="6" t="s">
        <v>63</v>
      </c>
      <c r="H30" s="8"/>
      <c r="I30" s="43"/>
      <c r="J30" s="6" t="s">
        <v>105</v>
      </c>
      <c r="K30" s="7">
        <v>0.9</v>
      </c>
      <c r="L30" s="28">
        <v>85.5</v>
      </c>
    </row>
    <row r="31" spans="1:12" x14ac:dyDescent="0.15">
      <c r="A31" s="6" t="s">
        <v>57</v>
      </c>
      <c r="B31" s="8"/>
      <c r="C31" s="43"/>
      <c r="D31" s="6"/>
      <c r="E31" s="8"/>
      <c r="F31" s="43"/>
      <c r="G31" s="6" t="s">
        <v>37</v>
      </c>
      <c r="H31" s="8"/>
      <c r="I31" s="43"/>
      <c r="J31" s="6" t="s">
        <v>95</v>
      </c>
      <c r="K31" s="7">
        <v>1</v>
      </c>
      <c r="L31" s="28">
        <v>95</v>
      </c>
    </row>
    <row r="32" spans="1:12" x14ac:dyDescent="0.15">
      <c r="A32" s="6" t="s">
        <v>37</v>
      </c>
      <c r="B32" s="8"/>
      <c r="C32" s="43"/>
      <c r="D32" s="6"/>
      <c r="E32" s="8"/>
      <c r="F32" s="43"/>
      <c r="G32" s="6"/>
      <c r="H32" s="8"/>
      <c r="I32" s="43"/>
      <c r="J32" s="6" t="s">
        <v>105</v>
      </c>
      <c r="K32" s="7">
        <v>0.9</v>
      </c>
      <c r="L32" s="28">
        <v>85.5</v>
      </c>
    </row>
    <row r="33" spans="1:12" x14ac:dyDescent="0.15">
      <c r="A33" s="6"/>
      <c r="B33" s="8"/>
      <c r="C33" s="43"/>
      <c r="D33" s="6"/>
      <c r="E33" s="8"/>
      <c r="F33" s="43"/>
      <c r="G33" s="29" t="s">
        <v>27</v>
      </c>
      <c r="H33" s="8"/>
      <c r="I33" s="43"/>
      <c r="J33" s="6" t="s">
        <v>95</v>
      </c>
      <c r="K33" s="7">
        <v>1</v>
      </c>
      <c r="L33" s="28">
        <v>95</v>
      </c>
    </row>
    <row r="34" spans="1:12" x14ac:dyDescent="0.15">
      <c r="A34" s="29" t="s">
        <v>58</v>
      </c>
      <c r="B34" s="8"/>
      <c r="C34" s="43"/>
      <c r="D34" s="6"/>
      <c r="E34" s="8"/>
      <c r="F34" s="43"/>
      <c r="G34" s="6" t="s">
        <v>52</v>
      </c>
      <c r="H34" s="8"/>
      <c r="I34" s="43"/>
      <c r="J34" s="6" t="s">
        <v>105</v>
      </c>
      <c r="K34" s="7">
        <v>0.9</v>
      </c>
      <c r="L34" s="28">
        <v>85.5</v>
      </c>
    </row>
    <row r="35" spans="1:12" x14ac:dyDescent="0.15">
      <c r="A35" s="6" t="s">
        <v>59</v>
      </c>
      <c r="B35" s="8"/>
      <c r="C35" s="43"/>
      <c r="D35" s="6"/>
      <c r="E35" s="8"/>
      <c r="F35" s="43"/>
      <c r="G35" s="6" t="s">
        <v>64</v>
      </c>
      <c r="H35" s="8"/>
      <c r="I35" s="43"/>
      <c r="J35" s="6" t="s">
        <v>95</v>
      </c>
      <c r="K35" s="7">
        <v>1</v>
      </c>
      <c r="L35" s="28">
        <v>95</v>
      </c>
    </row>
    <row r="36" spans="1:12" x14ac:dyDescent="0.15">
      <c r="A36" s="6" t="s">
        <v>37</v>
      </c>
      <c r="B36" s="8"/>
      <c r="C36" s="43"/>
      <c r="D36" s="6"/>
      <c r="E36" s="8"/>
      <c r="F36" s="43"/>
      <c r="G36" s="6"/>
      <c r="H36" s="8"/>
      <c r="I36" s="43"/>
      <c r="J36" s="6" t="s">
        <v>105</v>
      </c>
      <c r="K36" s="7">
        <v>0.9</v>
      </c>
      <c r="L36" s="28">
        <v>85.5</v>
      </c>
    </row>
    <row r="37" spans="1:12" x14ac:dyDescent="0.15">
      <c r="A37" s="6"/>
      <c r="B37" s="8"/>
      <c r="C37" s="43"/>
      <c r="D37" s="6"/>
      <c r="E37" s="8"/>
      <c r="F37" s="43"/>
      <c r="G37" s="6"/>
      <c r="H37" s="8"/>
      <c r="I37" s="43"/>
      <c r="J37" s="6" t="s">
        <v>95</v>
      </c>
      <c r="K37" s="7">
        <v>1</v>
      </c>
      <c r="L37" s="28">
        <v>95</v>
      </c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6"/>
      <c r="E39" s="8"/>
      <c r="F39" s="43"/>
      <c r="G39" s="6"/>
      <c r="H39" s="8"/>
      <c r="I39" s="43"/>
      <c r="J39" s="29" t="s">
        <v>65</v>
      </c>
      <c r="K39" s="8"/>
      <c r="L39" s="43"/>
    </row>
    <row r="40" spans="1:12" x14ac:dyDescent="0.15">
      <c r="A40" s="6"/>
      <c r="B40" s="8"/>
      <c r="C40" s="43"/>
      <c r="D40" s="6"/>
      <c r="E40" s="8"/>
      <c r="F40" s="43"/>
      <c r="G40" s="6"/>
      <c r="H40" s="8"/>
      <c r="I40" s="43"/>
      <c r="J40" s="6" t="s">
        <v>59</v>
      </c>
      <c r="K40" s="8"/>
      <c r="L40" s="43"/>
    </row>
    <row r="41" spans="1:12" ht="12" thickBot="1" x14ac:dyDescent="0.2">
      <c r="A41" s="9"/>
      <c r="B41" s="10"/>
      <c r="C41" s="48"/>
      <c r="D41" s="9"/>
      <c r="E41" s="10"/>
      <c r="F41" s="48"/>
      <c r="G41" s="9"/>
      <c r="H41" s="10"/>
      <c r="I41" s="48"/>
      <c r="J41" s="9" t="s">
        <v>37</v>
      </c>
      <c r="K41" s="10"/>
      <c r="L41" s="4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B6BB0-8FFC-4CAD-A80B-2C7563341CF3}">
  <sheetPr codeName="Sheet6"/>
  <dimension ref="A1:L41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34</v>
      </c>
      <c r="E2" s="5"/>
      <c r="F2" s="41"/>
      <c r="G2" s="30" t="s">
        <v>0</v>
      </c>
      <c r="H2" s="5"/>
      <c r="I2" s="41"/>
      <c r="J2" s="30" t="s">
        <v>0</v>
      </c>
      <c r="K2" s="5"/>
      <c r="L2" s="41"/>
    </row>
    <row r="3" spans="1:12" x14ac:dyDescent="0.15">
      <c r="A3" s="6" t="s">
        <v>95</v>
      </c>
      <c r="B3" s="7">
        <v>0.6</v>
      </c>
      <c r="C3" s="42">
        <v>120</v>
      </c>
      <c r="D3" s="6" t="s">
        <v>105</v>
      </c>
      <c r="E3" s="7">
        <v>0.6</v>
      </c>
      <c r="F3" s="52">
        <v>84</v>
      </c>
      <c r="G3" s="6" t="s">
        <v>95</v>
      </c>
      <c r="H3" s="7">
        <v>0.6</v>
      </c>
      <c r="I3" s="42">
        <v>120</v>
      </c>
      <c r="J3" s="6" t="s">
        <v>105</v>
      </c>
      <c r="K3" s="7">
        <v>0.6</v>
      </c>
      <c r="L3" s="42">
        <v>120</v>
      </c>
    </row>
    <row r="4" spans="1:12" x14ac:dyDescent="0.15">
      <c r="A4" s="6" t="s">
        <v>95</v>
      </c>
      <c r="B4" s="7">
        <v>0.7</v>
      </c>
      <c r="C4" s="42">
        <v>140</v>
      </c>
      <c r="D4" s="6" t="s">
        <v>105</v>
      </c>
      <c r="E4" s="7">
        <v>0.7</v>
      </c>
      <c r="F4" s="52">
        <v>98</v>
      </c>
      <c r="G4" s="6" t="s">
        <v>95</v>
      </c>
      <c r="H4" s="7">
        <v>0.7</v>
      </c>
      <c r="I4" s="42">
        <v>140</v>
      </c>
      <c r="J4" s="6" t="s">
        <v>105</v>
      </c>
      <c r="K4" s="7">
        <v>0.7</v>
      </c>
      <c r="L4" s="42">
        <v>140</v>
      </c>
    </row>
    <row r="5" spans="1:12" x14ac:dyDescent="0.15">
      <c r="A5" s="6" t="s">
        <v>95</v>
      </c>
      <c r="B5" s="7">
        <v>0.8</v>
      </c>
      <c r="C5" s="42">
        <v>160</v>
      </c>
      <c r="D5" s="6" t="s">
        <v>105</v>
      </c>
      <c r="E5" s="7">
        <v>0.8</v>
      </c>
      <c r="F5" s="52">
        <v>112</v>
      </c>
      <c r="G5" s="6" t="s">
        <v>156</v>
      </c>
      <c r="H5" s="7">
        <v>0.8</v>
      </c>
      <c r="I5" s="42">
        <v>160</v>
      </c>
      <c r="J5" s="6" t="s">
        <v>110</v>
      </c>
      <c r="K5" s="7">
        <v>0.8</v>
      </c>
      <c r="L5" s="42">
        <v>160</v>
      </c>
    </row>
    <row r="6" spans="1:12" x14ac:dyDescent="0.15">
      <c r="A6" s="6" t="s">
        <v>95</v>
      </c>
      <c r="B6" s="7">
        <v>0.85</v>
      </c>
      <c r="C6" s="42">
        <v>170</v>
      </c>
      <c r="D6" s="6" t="s">
        <v>105</v>
      </c>
      <c r="E6" s="7">
        <v>0.85</v>
      </c>
      <c r="F6" s="52">
        <v>119</v>
      </c>
      <c r="G6" s="6"/>
      <c r="H6" s="8"/>
      <c r="I6" s="43"/>
      <c r="J6" s="6"/>
      <c r="K6" s="8"/>
      <c r="L6" s="43"/>
    </row>
    <row r="7" spans="1:12" x14ac:dyDescent="0.15">
      <c r="A7" s="6"/>
      <c r="B7" s="8"/>
      <c r="C7" s="43"/>
      <c r="D7" s="6" t="s">
        <v>105</v>
      </c>
      <c r="E7" s="7">
        <v>0.8</v>
      </c>
      <c r="F7" s="52">
        <v>112</v>
      </c>
      <c r="G7" s="29" t="s">
        <v>38</v>
      </c>
      <c r="H7" s="8"/>
      <c r="I7" s="43"/>
      <c r="J7" s="29" t="s">
        <v>87</v>
      </c>
      <c r="K7" s="8"/>
      <c r="L7" s="43"/>
    </row>
    <row r="8" spans="1:12" x14ac:dyDescent="0.15">
      <c r="A8" s="29" t="s">
        <v>1</v>
      </c>
      <c r="B8" s="8"/>
      <c r="C8" s="43"/>
      <c r="D8" s="6" t="s">
        <v>105</v>
      </c>
      <c r="E8" s="7">
        <v>0.85</v>
      </c>
      <c r="F8" s="52">
        <v>119</v>
      </c>
      <c r="G8" s="6" t="s">
        <v>157</v>
      </c>
      <c r="H8" s="7">
        <v>0.6</v>
      </c>
      <c r="I8" s="49">
        <v>54</v>
      </c>
      <c r="J8" s="6" t="s">
        <v>105</v>
      </c>
      <c r="K8" s="7">
        <v>0.9</v>
      </c>
      <c r="L8" s="28">
        <v>85.5</v>
      </c>
    </row>
    <row r="9" spans="1:12" x14ac:dyDescent="0.15">
      <c r="A9" s="6" t="s">
        <v>95</v>
      </c>
      <c r="B9" s="7">
        <v>0.6</v>
      </c>
      <c r="C9" s="28">
        <v>57</v>
      </c>
      <c r="D9" s="6"/>
      <c r="E9" s="8"/>
      <c r="F9" s="43"/>
      <c r="G9" s="6" t="s">
        <v>158</v>
      </c>
      <c r="H9" s="7">
        <v>0.7</v>
      </c>
      <c r="I9" s="49">
        <v>62.999999999999993</v>
      </c>
      <c r="J9" s="6" t="s">
        <v>104</v>
      </c>
      <c r="K9" s="7">
        <v>1</v>
      </c>
      <c r="L9" s="28">
        <v>95</v>
      </c>
    </row>
    <row r="10" spans="1:12" x14ac:dyDescent="0.15">
      <c r="A10" s="6" t="s">
        <v>125</v>
      </c>
      <c r="B10" s="7">
        <v>0.7</v>
      </c>
      <c r="C10" s="28">
        <v>66.5</v>
      </c>
      <c r="D10" s="29" t="s">
        <v>42</v>
      </c>
      <c r="E10" s="8"/>
      <c r="F10" s="43"/>
      <c r="G10" s="6" t="s">
        <v>157</v>
      </c>
      <c r="H10" s="7">
        <v>0.6</v>
      </c>
      <c r="I10" s="49">
        <v>54</v>
      </c>
      <c r="J10" s="6"/>
      <c r="K10" s="8"/>
      <c r="L10" s="43"/>
    </row>
    <row r="11" spans="1:12" x14ac:dyDescent="0.15">
      <c r="A11" s="6"/>
      <c r="B11" s="8"/>
      <c r="C11" s="43"/>
      <c r="D11" s="6" t="s">
        <v>113</v>
      </c>
      <c r="E11" s="7">
        <v>0.6</v>
      </c>
      <c r="F11" s="28">
        <v>57</v>
      </c>
      <c r="G11" s="6" t="s">
        <v>158</v>
      </c>
      <c r="H11" s="7">
        <v>0.7</v>
      </c>
      <c r="I11" s="49">
        <v>62.999999999999993</v>
      </c>
      <c r="J11" s="29" t="s">
        <v>88</v>
      </c>
      <c r="K11" s="8"/>
      <c r="L11" s="43"/>
    </row>
    <row r="12" spans="1:12" x14ac:dyDescent="0.15">
      <c r="A12" s="29" t="s">
        <v>70</v>
      </c>
      <c r="B12" s="8"/>
      <c r="C12" s="43"/>
      <c r="D12" s="6" t="s">
        <v>113</v>
      </c>
      <c r="E12" s="7">
        <v>0.7</v>
      </c>
      <c r="F12" s="28">
        <v>66.5</v>
      </c>
      <c r="G12" s="6"/>
      <c r="H12" s="8"/>
      <c r="I12" s="43"/>
      <c r="J12" s="6" t="s">
        <v>105</v>
      </c>
      <c r="K12" s="7">
        <v>0.8</v>
      </c>
      <c r="L12" s="46">
        <v>88</v>
      </c>
    </row>
    <row r="13" spans="1:12" x14ac:dyDescent="0.15">
      <c r="A13" s="6" t="s">
        <v>126</v>
      </c>
      <c r="B13" s="7">
        <v>0.6</v>
      </c>
      <c r="C13" s="50">
        <v>69</v>
      </c>
      <c r="D13" s="6" t="s">
        <v>113</v>
      </c>
      <c r="E13" s="7">
        <v>0.8</v>
      </c>
      <c r="F13" s="28">
        <v>76</v>
      </c>
      <c r="G13" s="29" t="s">
        <v>73</v>
      </c>
      <c r="H13" s="8"/>
      <c r="I13" s="43"/>
      <c r="J13" s="6" t="s">
        <v>95</v>
      </c>
      <c r="K13" s="7">
        <v>0.9</v>
      </c>
      <c r="L13" s="46">
        <v>99</v>
      </c>
    </row>
    <row r="14" spans="1:12" x14ac:dyDescent="0.15">
      <c r="A14" s="6" t="s">
        <v>127</v>
      </c>
      <c r="B14" s="7">
        <v>0.7</v>
      </c>
      <c r="C14" s="50">
        <v>80.5</v>
      </c>
      <c r="D14" s="6" t="s">
        <v>98</v>
      </c>
      <c r="E14" s="7">
        <v>0.85</v>
      </c>
      <c r="F14" s="28">
        <v>80.75</v>
      </c>
      <c r="G14" s="6" t="s">
        <v>159</v>
      </c>
      <c r="H14" s="7">
        <v>0.6</v>
      </c>
      <c r="I14" s="50">
        <v>69</v>
      </c>
      <c r="J14" s="6" t="s">
        <v>105</v>
      </c>
      <c r="K14" s="7">
        <v>0.8</v>
      </c>
      <c r="L14" s="46">
        <v>88</v>
      </c>
    </row>
    <row r="15" spans="1:12" x14ac:dyDescent="0.15">
      <c r="A15" s="6"/>
      <c r="B15" s="8"/>
      <c r="C15" s="43"/>
      <c r="D15" s="6" t="s">
        <v>124</v>
      </c>
      <c r="E15" s="7">
        <v>0.8</v>
      </c>
      <c r="F15" s="28">
        <v>76</v>
      </c>
      <c r="G15" s="6" t="s">
        <v>160</v>
      </c>
      <c r="H15" s="7">
        <v>0.7</v>
      </c>
      <c r="I15" s="50">
        <v>80.5</v>
      </c>
      <c r="J15" s="6" t="s">
        <v>95</v>
      </c>
      <c r="K15" s="7">
        <v>0.9</v>
      </c>
      <c r="L15" s="46">
        <v>99</v>
      </c>
    </row>
    <row r="16" spans="1:12" x14ac:dyDescent="0.15">
      <c r="A16" s="29" t="s">
        <v>89</v>
      </c>
      <c r="B16" s="8"/>
      <c r="C16" s="43"/>
      <c r="D16" s="6"/>
      <c r="E16" s="8"/>
      <c r="F16" s="43"/>
      <c r="G16" s="6" t="s">
        <v>159</v>
      </c>
      <c r="H16" s="7">
        <v>0.6</v>
      </c>
      <c r="I16" s="50">
        <v>69</v>
      </c>
      <c r="J16" s="6" t="s">
        <v>105</v>
      </c>
      <c r="K16" s="7">
        <v>0.8</v>
      </c>
      <c r="L16" s="46">
        <v>88</v>
      </c>
    </row>
    <row r="17" spans="1:12" x14ac:dyDescent="0.15">
      <c r="A17" s="6" t="s">
        <v>128</v>
      </c>
      <c r="B17" s="7">
        <v>0.9</v>
      </c>
      <c r="C17" s="46">
        <v>99</v>
      </c>
      <c r="D17" s="29" t="s">
        <v>43</v>
      </c>
      <c r="E17" s="8"/>
      <c r="F17" s="43"/>
      <c r="G17" s="6" t="s">
        <v>160</v>
      </c>
      <c r="H17" s="7">
        <v>0.7</v>
      </c>
      <c r="I17" s="50">
        <v>80.5</v>
      </c>
      <c r="J17" s="6" t="s">
        <v>95</v>
      </c>
      <c r="K17" s="7">
        <v>0.9</v>
      </c>
      <c r="L17" s="46">
        <v>99</v>
      </c>
    </row>
    <row r="18" spans="1:12" x14ac:dyDescent="0.15">
      <c r="A18" s="6"/>
      <c r="B18" s="8"/>
      <c r="C18" s="43"/>
      <c r="D18" s="6" t="s">
        <v>144</v>
      </c>
      <c r="E18" s="7">
        <v>0.6</v>
      </c>
      <c r="F18" s="50">
        <v>69</v>
      </c>
      <c r="G18" s="6"/>
      <c r="H18" s="8"/>
      <c r="I18" s="43"/>
      <c r="J18" s="6"/>
      <c r="K18" s="8"/>
      <c r="L18" s="43"/>
    </row>
    <row r="19" spans="1:12" x14ac:dyDescent="0.15">
      <c r="A19" s="29" t="s">
        <v>27</v>
      </c>
      <c r="B19" s="8"/>
      <c r="C19" s="43"/>
      <c r="D19" s="6" t="s">
        <v>144</v>
      </c>
      <c r="E19" s="7">
        <v>0.7</v>
      </c>
      <c r="F19" s="50">
        <v>80.5</v>
      </c>
      <c r="G19" s="6"/>
      <c r="H19" s="8"/>
      <c r="I19" s="43"/>
      <c r="J19" s="29" t="s">
        <v>47</v>
      </c>
      <c r="K19" s="8"/>
      <c r="L19" s="43"/>
    </row>
    <row r="20" spans="1:12" x14ac:dyDescent="0.15">
      <c r="A20" s="6" t="s">
        <v>71</v>
      </c>
      <c r="B20" s="8"/>
      <c r="C20" s="43"/>
      <c r="D20" s="6" t="s">
        <v>144</v>
      </c>
      <c r="E20" s="7">
        <v>0.8</v>
      </c>
      <c r="F20" s="50">
        <v>92</v>
      </c>
      <c r="G20" s="6"/>
      <c r="H20" s="8"/>
      <c r="I20" s="43"/>
      <c r="J20" s="6" t="s">
        <v>74</v>
      </c>
      <c r="K20" s="8"/>
      <c r="L20" s="43"/>
    </row>
    <row r="21" spans="1:12" x14ac:dyDescent="0.15">
      <c r="A21" s="6" t="s">
        <v>41</v>
      </c>
      <c r="B21" s="8"/>
      <c r="C21" s="43"/>
      <c r="D21" s="6" t="s">
        <v>144</v>
      </c>
      <c r="E21" s="7">
        <v>0.85</v>
      </c>
      <c r="F21" s="50">
        <v>97.75</v>
      </c>
      <c r="G21" s="6"/>
      <c r="H21" s="8"/>
      <c r="I21" s="43"/>
      <c r="J21" s="6" t="s">
        <v>75</v>
      </c>
      <c r="K21" s="8"/>
      <c r="L21" s="43"/>
    </row>
    <row r="22" spans="1:12" x14ac:dyDescent="0.15">
      <c r="A22" s="6"/>
      <c r="B22" s="8"/>
      <c r="C22" s="43"/>
      <c r="D22" s="6" t="s">
        <v>145</v>
      </c>
      <c r="E22" s="7">
        <v>0.8</v>
      </c>
      <c r="F22" s="50">
        <v>92</v>
      </c>
      <c r="G22" s="6"/>
      <c r="H22" s="8"/>
      <c r="I22" s="43"/>
      <c r="J22" s="6"/>
      <c r="K22" s="8"/>
      <c r="L22" s="43"/>
    </row>
    <row r="23" spans="1:12" x14ac:dyDescent="0.15">
      <c r="A23" s="6"/>
      <c r="B23" s="8"/>
      <c r="C23" s="43"/>
      <c r="D23" s="6"/>
      <c r="E23" s="8"/>
      <c r="F23" s="43"/>
      <c r="G23" s="6"/>
      <c r="H23" s="8"/>
      <c r="I23" s="43"/>
      <c r="J23" s="6"/>
      <c r="K23" s="8"/>
      <c r="L23" s="43"/>
    </row>
    <row r="24" spans="1:12" x14ac:dyDescent="0.15">
      <c r="A24" s="6"/>
      <c r="B24" s="8"/>
      <c r="C24" s="43"/>
      <c r="D24" s="29" t="s">
        <v>90</v>
      </c>
      <c r="E24" s="8"/>
      <c r="F24" s="43"/>
      <c r="G24" s="6"/>
      <c r="H24" s="8"/>
      <c r="I24" s="43"/>
      <c r="J24" s="6"/>
      <c r="K24" s="8"/>
      <c r="L24" s="43"/>
    </row>
    <row r="25" spans="1:12" x14ac:dyDescent="0.15">
      <c r="A25" s="6"/>
      <c r="B25" s="8"/>
      <c r="C25" s="43"/>
      <c r="D25" s="6" t="s">
        <v>105</v>
      </c>
      <c r="E25" s="7">
        <v>0.8</v>
      </c>
      <c r="F25" s="28">
        <v>76</v>
      </c>
      <c r="G25" s="6"/>
      <c r="H25" s="8"/>
      <c r="I25" s="43"/>
      <c r="J25" s="6"/>
      <c r="K25" s="8"/>
      <c r="L25" s="43"/>
    </row>
    <row r="26" spans="1:12" x14ac:dyDescent="0.15">
      <c r="A26" s="6"/>
      <c r="B26" s="8"/>
      <c r="C26" s="43"/>
      <c r="D26" s="6" t="s">
        <v>95</v>
      </c>
      <c r="E26" s="7">
        <v>0.9</v>
      </c>
      <c r="F26" s="28">
        <v>85.5</v>
      </c>
      <c r="G26" s="6"/>
      <c r="H26" s="8"/>
      <c r="I26" s="43"/>
      <c r="J26" s="6"/>
      <c r="K26" s="8"/>
      <c r="L26" s="43"/>
    </row>
    <row r="27" spans="1:12" x14ac:dyDescent="0.15">
      <c r="A27" s="6"/>
      <c r="B27" s="8"/>
      <c r="C27" s="43"/>
      <c r="D27" s="6" t="s">
        <v>105</v>
      </c>
      <c r="E27" s="7">
        <v>0.8</v>
      </c>
      <c r="F27" s="28">
        <v>76</v>
      </c>
      <c r="G27" s="6"/>
      <c r="H27" s="8"/>
      <c r="I27" s="43"/>
      <c r="J27" s="6"/>
      <c r="K27" s="8"/>
      <c r="L27" s="43"/>
    </row>
    <row r="28" spans="1:12" x14ac:dyDescent="0.15">
      <c r="A28" s="6"/>
      <c r="B28" s="8"/>
      <c r="C28" s="43"/>
      <c r="D28" s="6" t="s">
        <v>95</v>
      </c>
      <c r="E28" s="7">
        <v>0.9</v>
      </c>
      <c r="F28" s="28">
        <v>85.5</v>
      </c>
      <c r="G28" s="6"/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 t="s">
        <v>105</v>
      </c>
      <c r="E29" s="7">
        <v>0.8</v>
      </c>
      <c r="F29" s="28">
        <v>76</v>
      </c>
      <c r="G29" s="6"/>
      <c r="H29" s="8"/>
      <c r="I29" s="43"/>
      <c r="J29" s="6"/>
      <c r="K29" s="8"/>
      <c r="L29" s="43"/>
    </row>
    <row r="30" spans="1:12" x14ac:dyDescent="0.15">
      <c r="A30" s="6"/>
      <c r="B30" s="8"/>
      <c r="C30" s="43"/>
      <c r="D30" s="6" t="s">
        <v>95</v>
      </c>
      <c r="E30" s="7">
        <v>0.9</v>
      </c>
      <c r="F30" s="28">
        <v>85.5</v>
      </c>
      <c r="G30" s="6"/>
      <c r="H30" s="8"/>
      <c r="I30" s="43"/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x14ac:dyDescent="0.15">
      <c r="A32" s="6"/>
      <c r="B32" s="8"/>
      <c r="C32" s="43"/>
      <c r="D32" s="29" t="s">
        <v>45</v>
      </c>
      <c r="E32" s="8"/>
      <c r="F32" s="43"/>
      <c r="G32" s="6"/>
      <c r="H32" s="8"/>
      <c r="I32" s="43"/>
      <c r="J32" s="6"/>
      <c r="K32" s="8"/>
      <c r="L32" s="43"/>
    </row>
    <row r="33" spans="1:12" x14ac:dyDescent="0.15">
      <c r="A33" s="6"/>
      <c r="B33" s="8"/>
      <c r="C33" s="43"/>
      <c r="D33" s="6" t="s">
        <v>105</v>
      </c>
      <c r="E33" s="7">
        <v>0.6</v>
      </c>
      <c r="F33" s="47">
        <v>48</v>
      </c>
      <c r="G33" s="6"/>
      <c r="H33" s="8"/>
      <c r="I33" s="43"/>
      <c r="J33" s="6"/>
      <c r="K33" s="8"/>
      <c r="L33" s="43"/>
    </row>
    <row r="34" spans="1:12" x14ac:dyDescent="0.15">
      <c r="A34" s="6"/>
      <c r="B34" s="8"/>
      <c r="C34" s="43"/>
      <c r="D34" s="6" t="s">
        <v>105</v>
      </c>
      <c r="E34" s="7">
        <v>0.7</v>
      </c>
      <c r="F34" s="47">
        <v>56</v>
      </c>
      <c r="G34" s="6"/>
      <c r="H34" s="8"/>
      <c r="I34" s="43"/>
      <c r="J34" s="6"/>
      <c r="K34" s="8"/>
      <c r="L34" s="43"/>
    </row>
    <row r="35" spans="1:12" x14ac:dyDescent="0.15">
      <c r="A35" s="6"/>
      <c r="B35" s="8"/>
      <c r="C35" s="43"/>
      <c r="D35" s="6" t="s">
        <v>98</v>
      </c>
      <c r="E35" s="7">
        <v>0.75</v>
      </c>
      <c r="F35" s="47">
        <v>60</v>
      </c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 t="s">
        <v>105</v>
      </c>
      <c r="E36" s="7">
        <v>0.6</v>
      </c>
      <c r="F36" s="47">
        <v>48</v>
      </c>
      <c r="G36" s="6"/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 t="s">
        <v>95</v>
      </c>
      <c r="E37" s="7">
        <v>0.7</v>
      </c>
      <c r="F37" s="47">
        <v>56</v>
      </c>
      <c r="G37" s="6"/>
      <c r="H37" s="8"/>
      <c r="I37" s="43"/>
      <c r="J37" s="6"/>
      <c r="K37" s="8"/>
      <c r="L37" s="43"/>
    </row>
    <row r="38" spans="1:12" x14ac:dyDescent="0.15">
      <c r="A38" s="6"/>
      <c r="B38" s="8"/>
      <c r="C38" s="43"/>
      <c r="D38" s="6"/>
      <c r="E38" s="8"/>
      <c r="F38" s="43"/>
      <c r="G38" s="6"/>
      <c r="H38" s="8"/>
      <c r="I38" s="43"/>
      <c r="J38" s="6"/>
      <c r="K38" s="8"/>
      <c r="L38" s="43"/>
    </row>
    <row r="39" spans="1:12" x14ac:dyDescent="0.15">
      <c r="A39" s="6"/>
      <c r="B39" s="8"/>
      <c r="C39" s="43"/>
      <c r="D39" s="29" t="s">
        <v>47</v>
      </c>
      <c r="E39" s="8"/>
      <c r="F39" s="43"/>
      <c r="G39" s="6"/>
      <c r="H39" s="8"/>
      <c r="I39" s="43"/>
      <c r="J39" s="6"/>
      <c r="K39" s="8"/>
      <c r="L39" s="43"/>
    </row>
    <row r="40" spans="1:12" x14ac:dyDescent="0.15">
      <c r="A40" s="6"/>
      <c r="B40" s="8"/>
      <c r="C40" s="43"/>
      <c r="D40" s="6" t="s">
        <v>72</v>
      </c>
      <c r="E40" s="8"/>
      <c r="F40" s="43"/>
      <c r="G40" s="6"/>
      <c r="H40" s="8"/>
      <c r="I40" s="43"/>
      <c r="J40" s="6"/>
      <c r="K40" s="8"/>
      <c r="L40" s="43"/>
    </row>
    <row r="41" spans="1:12" ht="12" thickBot="1" x14ac:dyDescent="0.2">
      <c r="A41" s="9"/>
      <c r="B41" s="10"/>
      <c r="C41" s="48"/>
      <c r="D41" s="9" t="s">
        <v>37</v>
      </c>
      <c r="E41" s="10"/>
      <c r="F41" s="48"/>
      <c r="G41" s="9"/>
      <c r="H41" s="10"/>
      <c r="I41" s="48"/>
      <c r="J41" s="9"/>
      <c r="K41" s="10"/>
      <c r="L41" s="4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9E8E9-0EB3-40CF-8FD4-DA2D3370A73E}">
  <sheetPr codeName="Sheet7"/>
  <dimension ref="A1:L38"/>
  <sheetViews>
    <sheetView zoomScaleNormal="100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48.42578125" style="3" customWidth="1"/>
    <col min="2" max="2" width="8.85546875" style="2" customWidth="1"/>
    <col min="3" max="3" width="8.85546875" style="45" customWidth="1"/>
    <col min="4" max="4" width="48.42578125" style="3" customWidth="1"/>
    <col min="5" max="5" width="8.85546875" style="2" customWidth="1"/>
    <col min="6" max="6" width="8.85546875" style="45" customWidth="1"/>
    <col min="7" max="7" width="48.42578125" style="3" customWidth="1"/>
    <col min="8" max="8" width="8.85546875" style="2" customWidth="1"/>
    <col min="9" max="9" width="8.85546875" style="45" customWidth="1"/>
    <col min="10" max="10" width="48.42578125" style="3" customWidth="1"/>
    <col min="11" max="11" width="8.85546875" style="2" customWidth="1"/>
    <col min="12" max="12" width="8.85546875" style="45" customWidth="1"/>
    <col min="13" max="16384" width="9.140625" style="3"/>
  </cols>
  <sheetData>
    <row r="1" spans="1:12" s="13" customFormat="1" ht="15.75" thickBot="1" x14ac:dyDescent="0.3">
      <c r="A1" s="33" t="s">
        <v>177</v>
      </c>
      <c r="B1" s="34" t="s">
        <v>93</v>
      </c>
      <c r="C1" s="40" t="s">
        <v>94</v>
      </c>
      <c r="D1" s="33" t="s">
        <v>178</v>
      </c>
      <c r="E1" s="34" t="s">
        <v>93</v>
      </c>
      <c r="F1" s="40" t="s">
        <v>94</v>
      </c>
      <c r="G1" s="33" t="s">
        <v>179</v>
      </c>
      <c r="H1" s="34" t="s">
        <v>93</v>
      </c>
      <c r="I1" s="40" t="s">
        <v>94</v>
      </c>
      <c r="J1" s="33" t="s">
        <v>180</v>
      </c>
      <c r="K1" s="34" t="s">
        <v>93</v>
      </c>
      <c r="L1" s="40" t="s">
        <v>94</v>
      </c>
    </row>
    <row r="2" spans="1:12" x14ac:dyDescent="0.15">
      <c r="A2" s="30" t="s">
        <v>0</v>
      </c>
      <c r="B2" s="5"/>
      <c r="C2" s="41"/>
      <c r="D2" s="30" t="s">
        <v>0</v>
      </c>
      <c r="E2" s="5"/>
      <c r="F2" s="41"/>
      <c r="G2" s="30" t="s">
        <v>34</v>
      </c>
      <c r="H2" s="5"/>
      <c r="I2" s="41"/>
      <c r="J2" s="30" t="s">
        <v>0</v>
      </c>
      <c r="K2" s="5"/>
      <c r="L2" s="41"/>
    </row>
    <row r="3" spans="1:12" x14ac:dyDescent="0.15">
      <c r="A3" s="6" t="s">
        <v>103</v>
      </c>
      <c r="B3" s="7">
        <v>0.6</v>
      </c>
      <c r="C3" s="42">
        <v>120</v>
      </c>
      <c r="D3" s="6" t="s">
        <v>95</v>
      </c>
      <c r="E3" s="7">
        <v>0.6</v>
      </c>
      <c r="F3" s="42">
        <v>120</v>
      </c>
      <c r="G3" s="6" t="s">
        <v>105</v>
      </c>
      <c r="H3" s="7">
        <v>0.6</v>
      </c>
      <c r="I3" s="52">
        <v>84</v>
      </c>
      <c r="J3" s="6" t="s">
        <v>95</v>
      </c>
      <c r="K3" s="7">
        <v>0.6</v>
      </c>
      <c r="L3" s="42">
        <v>120</v>
      </c>
    </row>
    <row r="4" spans="1:12" x14ac:dyDescent="0.15">
      <c r="A4" s="6" t="s">
        <v>103</v>
      </c>
      <c r="B4" s="7">
        <v>0.7</v>
      </c>
      <c r="C4" s="42">
        <v>140</v>
      </c>
      <c r="D4" s="6" t="s">
        <v>95</v>
      </c>
      <c r="E4" s="7">
        <v>0.7</v>
      </c>
      <c r="F4" s="42">
        <v>140</v>
      </c>
      <c r="G4" s="6" t="s">
        <v>105</v>
      </c>
      <c r="H4" s="7">
        <v>0.7</v>
      </c>
      <c r="I4" s="52">
        <v>98</v>
      </c>
      <c r="J4" s="6" t="s">
        <v>95</v>
      </c>
      <c r="K4" s="7">
        <v>0.7</v>
      </c>
      <c r="L4" s="42">
        <v>140</v>
      </c>
    </row>
    <row r="5" spans="1:12" x14ac:dyDescent="0.15">
      <c r="A5" s="6" t="s">
        <v>111</v>
      </c>
      <c r="B5" s="7">
        <v>0.8</v>
      </c>
      <c r="C5" s="42">
        <v>160</v>
      </c>
      <c r="D5" s="6" t="s">
        <v>95</v>
      </c>
      <c r="E5" s="7">
        <v>0.8</v>
      </c>
      <c r="F5" s="42">
        <v>160</v>
      </c>
      <c r="G5" s="6" t="s">
        <v>105</v>
      </c>
      <c r="H5" s="7">
        <v>0.8</v>
      </c>
      <c r="I5" s="52">
        <v>112</v>
      </c>
      <c r="J5" s="6" t="s">
        <v>95</v>
      </c>
      <c r="K5" s="7">
        <v>0.8</v>
      </c>
      <c r="L5" s="42">
        <v>160</v>
      </c>
    </row>
    <row r="6" spans="1:12" x14ac:dyDescent="0.15">
      <c r="A6" s="6"/>
      <c r="B6" s="8"/>
      <c r="C6" s="43"/>
      <c r="D6" s="6" t="s">
        <v>95</v>
      </c>
      <c r="E6" s="7">
        <v>0.85</v>
      </c>
      <c r="F6" s="42">
        <v>170</v>
      </c>
      <c r="G6" s="6" t="s">
        <v>105</v>
      </c>
      <c r="H6" s="7">
        <v>0.85</v>
      </c>
      <c r="I6" s="52">
        <v>119</v>
      </c>
      <c r="J6" s="6" t="s">
        <v>96</v>
      </c>
      <c r="K6" s="7">
        <v>0.85</v>
      </c>
      <c r="L6" s="42">
        <v>170</v>
      </c>
    </row>
    <row r="7" spans="1:12" x14ac:dyDescent="0.15">
      <c r="A7" s="29" t="s">
        <v>42</v>
      </c>
      <c r="B7" s="8"/>
      <c r="C7" s="43"/>
      <c r="D7" s="6" t="s">
        <v>95</v>
      </c>
      <c r="E7" s="7">
        <v>0.8</v>
      </c>
      <c r="F7" s="42">
        <v>160</v>
      </c>
      <c r="G7" s="6" t="s">
        <v>95</v>
      </c>
      <c r="H7" s="7">
        <v>0.8</v>
      </c>
      <c r="I7" s="52">
        <v>112</v>
      </c>
      <c r="J7" s="6"/>
      <c r="K7" s="8"/>
      <c r="L7" s="43"/>
    </row>
    <row r="8" spans="1:12" x14ac:dyDescent="0.15">
      <c r="A8" s="6" t="s">
        <v>105</v>
      </c>
      <c r="B8" s="7">
        <v>0.6</v>
      </c>
      <c r="C8" s="28">
        <v>57</v>
      </c>
      <c r="D8" s="6"/>
      <c r="E8" s="8"/>
      <c r="F8" s="43"/>
      <c r="G8" s="6" t="s">
        <v>95</v>
      </c>
      <c r="H8" s="7">
        <v>0.85</v>
      </c>
      <c r="I8" s="52">
        <v>119</v>
      </c>
      <c r="J8" s="29" t="s">
        <v>38</v>
      </c>
      <c r="K8" s="8"/>
      <c r="L8" s="43"/>
    </row>
    <row r="9" spans="1:12" x14ac:dyDescent="0.15">
      <c r="A9" s="6" t="s">
        <v>105</v>
      </c>
      <c r="B9" s="7">
        <v>0.7</v>
      </c>
      <c r="C9" s="28">
        <v>66.5</v>
      </c>
      <c r="D9" s="29" t="s">
        <v>80</v>
      </c>
      <c r="E9" s="8"/>
      <c r="F9" s="43"/>
      <c r="G9" s="6" t="s">
        <v>95</v>
      </c>
      <c r="H9" s="7">
        <v>0.8</v>
      </c>
      <c r="I9" s="52">
        <v>112</v>
      </c>
      <c r="J9" s="6" t="s">
        <v>163</v>
      </c>
      <c r="K9" s="7">
        <v>0.6</v>
      </c>
      <c r="L9" s="49">
        <v>54</v>
      </c>
    </row>
    <row r="10" spans="1:12" x14ac:dyDescent="0.15">
      <c r="A10" s="6" t="s">
        <v>104</v>
      </c>
      <c r="B10" s="7">
        <v>0.8</v>
      </c>
      <c r="C10" s="28">
        <v>76</v>
      </c>
      <c r="D10" s="6" t="s">
        <v>146</v>
      </c>
      <c r="E10" s="7">
        <v>0.6</v>
      </c>
      <c r="F10" s="28">
        <v>57</v>
      </c>
      <c r="G10" s="6" t="s">
        <v>95</v>
      </c>
      <c r="H10" s="7">
        <v>0.85</v>
      </c>
      <c r="I10" s="52">
        <v>119</v>
      </c>
      <c r="J10" s="6" t="s">
        <v>171</v>
      </c>
      <c r="K10" s="7">
        <v>0.7</v>
      </c>
      <c r="L10" s="49">
        <v>62.999999999999993</v>
      </c>
    </row>
    <row r="11" spans="1:12" x14ac:dyDescent="0.15">
      <c r="A11" s="6"/>
      <c r="B11" s="8"/>
      <c r="C11" s="43"/>
      <c r="D11" s="6" t="s">
        <v>146</v>
      </c>
      <c r="E11" s="7">
        <v>0.65</v>
      </c>
      <c r="F11" s="28">
        <v>61.75</v>
      </c>
      <c r="G11" s="6"/>
      <c r="H11" s="8"/>
      <c r="I11" s="43"/>
      <c r="J11" s="6"/>
      <c r="K11" s="8"/>
      <c r="L11" s="43"/>
    </row>
    <row r="12" spans="1:12" x14ac:dyDescent="0.15">
      <c r="A12" s="29" t="s">
        <v>43</v>
      </c>
      <c r="B12" s="8"/>
      <c r="C12" s="43"/>
      <c r="D12" s="6" t="s">
        <v>147</v>
      </c>
      <c r="E12" s="7">
        <v>0.7</v>
      </c>
      <c r="F12" s="28">
        <v>66.5</v>
      </c>
      <c r="G12" s="29" t="s">
        <v>42</v>
      </c>
      <c r="H12" s="8"/>
      <c r="I12" s="43"/>
      <c r="J12" s="29" t="s">
        <v>39</v>
      </c>
      <c r="K12" s="8"/>
      <c r="L12" s="43"/>
    </row>
    <row r="13" spans="1:12" x14ac:dyDescent="0.15">
      <c r="A13" s="6" t="s">
        <v>115</v>
      </c>
      <c r="B13" s="7">
        <v>0.6</v>
      </c>
      <c r="C13" s="50">
        <v>69</v>
      </c>
      <c r="D13" s="6"/>
      <c r="E13" s="8"/>
      <c r="F13" s="43"/>
      <c r="G13" s="6" t="s">
        <v>95</v>
      </c>
      <c r="H13" s="7">
        <v>0.6</v>
      </c>
      <c r="I13" s="28">
        <v>57</v>
      </c>
      <c r="J13" s="6" t="s">
        <v>165</v>
      </c>
      <c r="K13" s="7">
        <v>0.6</v>
      </c>
      <c r="L13" s="50">
        <v>69</v>
      </c>
    </row>
    <row r="14" spans="1:12" x14ac:dyDescent="0.15">
      <c r="A14" s="6" t="s">
        <v>115</v>
      </c>
      <c r="B14" s="7">
        <v>0.7</v>
      </c>
      <c r="C14" s="50">
        <v>80.5</v>
      </c>
      <c r="D14" s="29" t="s">
        <v>30</v>
      </c>
      <c r="E14" s="8"/>
      <c r="F14" s="43"/>
      <c r="G14" s="6" t="s">
        <v>95</v>
      </c>
      <c r="H14" s="7">
        <v>0.7</v>
      </c>
      <c r="I14" s="28">
        <v>66.5</v>
      </c>
      <c r="J14" s="6" t="s">
        <v>172</v>
      </c>
      <c r="K14" s="7">
        <v>0.7</v>
      </c>
      <c r="L14" s="50">
        <v>80.5</v>
      </c>
    </row>
    <row r="15" spans="1:12" x14ac:dyDescent="0.15">
      <c r="A15" s="6" t="s">
        <v>129</v>
      </c>
      <c r="B15" s="7">
        <v>0.8</v>
      </c>
      <c r="C15" s="50">
        <v>92</v>
      </c>
      <c r="D15" s="6" t="s">
        <v>139</v>
      </c>
      <c r="E15" s="7">
        <v>0.6</v>
      </c>
      <c r="F15" s="50">
        <v>69</v>
      </c>
      <c r="G15" s="6" t="s">
        <v>95</v>
      </c>
      <c r="H15" s="7">
        <v>0.8</v>
      </c>
      <c r="I15" s="28">
        <v>76</v>
      </c>
      <c r="J15" s="6"/>
      <c r="K15" s="8"/>
      <c r="L15" s="43"/>
    </row>
    <row r="16" spans="1:12" x14ac:dyDescent="0.15">
      <c r="A16" s="6"/>
      <c r="B16" s="8"/>
      <c r="C16" s="43"/>
      <c r="D16" s="6" t="s">
        <v>139</v>
      </c>
      <c r="E16" s="7">
        <v>0.65</v>
      </c>
      <c r="F16" s="50">
        <v>74.75</v>
      </c>
      <c r="G16" s="6" t="s">
        <v>95</v>
      </c>
      <c r="H16" s="7">
        <v>0.85</v>
      </c>
      <c r="I16" s="28">
        <v>80.75</v>
      </c>
      <c r="J16" s="6"/>
      <c r="K16" s="8"/>
      <c r="L16" s="43"/>
    </row>
    <row r="17" spans="1:12" x14ac:dyDescent="0.15">
      <c r="A17" s="29" t="s">
        <v>90</v>
      </c>
      <c r="B17" s="8"/>
      <c r="C17" s="43"/>
      <c r="D17" s="6" t="s">
        <v>148</v>
      </c>
      <c r="E17" s="7">
        <v>0.7</v>
      </c>
      <c r="F17" s="50">
        <v>80.5</v>
      </c>
      <c r="G17" s="6" t="s">
        <v>113</v>
      </c>
      <c r="H17" s="7">
        <v>0.9</v>
      </c>
      <c r="I17" s="28">
        <v>85.5</v>
      </c>
      <c r="J17" s="6"/>
      <c r="K17" s="8"/>
      <c r="L17" s="43"/>
    </row>
    <row r="18" spans="1:12" x14ac:dyDescent="0.15">
      <c r="A18" s="6" t="s">
        <v>105</v>
      </c>
      <c r="B18" s="7">
        <v>0.85</v>
      </c>
      <c r="C18" s="28">
        <v>80.75</v>
      </c>
      <c r="D18" s="6"/>
      <c r="E18" s="8"/>
      <c r="F18" s="43"/>
      <c r="G18" s="6" t="s">
        <v>96</v>
      </c>
      <c r="H18" s="7">
        <v>0.8</v>
      </c>
      <c r="I18" s="28">
        <v>76</v>
      </c>
      <c r="J18" s="6"/>
      <c r="K18" s="8"/>
      <c r="L18" s="43"/>
    </row>
    <row r="19" spans="1:12" x14ac:dyDescent="0.15">
      <c r="A19" s="6" t="s">
        <v>110</v>
      </c>
      <c r="B19" s="7">
        <v>0.95</v>
      </c>
      <c r="C19" s="28">
        <v>90.25</v>
      </c>
      <c r="D19" s="29" t="s">
        <v>89</v>
      </c>
      <c r="E19" s="8"/>
      <c r="F19" s="43"/>
      <c r="G19" s="6"/>
      <c r="H19" s="8"/>
      <c r="I19" s="43"/>
      <c r="J19" s="6"/>
      <c r="K19" s="8"/>
      <c r="L19" s="43"/>
    </row>
    <row r="20" spans="1:12" x14ac:dyDescent="0.15">
      <c r="A20" s="6"/>
      <c r="B20" s="8"/>
      <c r="C20" s="43"/>
      <c r="D20" s="6" t="s">
        <v>105</v>
      </c>
      <c r="E20" s="7">
        <v>0.8</v>
      </c>
      <c r="F20" s="46">
        <v>88</v>
      </c>
      <c r="G20" s="29" t="s">
        <v>43</v>
      </c>
      <c r="H20" s="8"/>
      <c r="I20" s="43"/>
      <c r="J20" s="6"/>
      <c r="K20" s="8"/>
      <c r="L20" s="43"/>
    </row>
    <row r="21" spans="1:12" x14ac:dyDescent="0.15">
      <c r="A21" s="29" t="s">
        <v>23</v>
      </c>
      <c r="B21" s="8"/>
      <c r="C21" s="43"/>
      <c r="D21" s="6" t="s">
        <v>105</v>
      </c>
      <c r="E21" s="7">
        <v>0.9</v>
      </c>
      <c r="F21" s="46">
        <v>99</v>
      </c>
      <c r="G21" s="6" t="s">
        <v>161</v>
      </c>
      <c r="H21" s="7">
        <v>0.6</v>
      </c>
      <c r="I21" s="50">
        <v>69</v>
      </c>
      <c r="J21" s="6"/>
      <c r="K21" s="8"/>
      <c r="L21" s="43"/>
    </row>
    <row r="22" spans="1:12" x14ac:dyDescent="0.15">
      <c r="A22" s="6" t="s">
        <v>105</v>
      </c>
      <c r="B22" s="7">
        <v>0.6</v>
      </c>
      <c r="C22" s="47">
        <v>48</v>
      </c>
      <c r="D22" s="6" t="s">
        <v>95</v>
      </c>
      <c r="E22" s="7">
        <v>1</v>
      </c>
      <c r="F22" s="46">
        <v>110</v>
      </c>
      <c r="G22" s="6" t="s">
        <v>161</v>
      </c>
      <c r="H22" s="7">
        <v>0.7</v>
      </c>
      <c r="I22" s="50">
        <v>80.5</v>
      </c>
      <c r="J22" s="6"/>
      <c r="K22" s="8"/>
      <c r="L22" s="43"/>
    </row>
    <row r="23" spans="1:12" x14ac:dyDescent="0.15">
      <c r="A23" s="6" t="s">
        <v>105</v>
      </c>
      <c r="B23" s="7">
        <v>0.65</v>
      </c>
      <c r="C23" s="47">
        <v>52</v>
      </c>
      <c r="D23" s="6" t="s">
        <v>95</v>
      </c>
      <c r="E23" s="7">
        <v>0.85</v>
      </c>
      <c r="F23" s="46">
        <v>93.5</v>
      </c>
      <c r="G23" s="6" t="s">
        <v>161</v>
      </c>
      <c r="H23" s="7">
        <v>0.8</v>
      </c>
      <c r="I23" s="50">
        <v>92</v>
      </c>
      <c r="J23" s="6"/>
      <c r="K23" s="8"/>
      <c r="L23" s="43"/>
    </row>
    <row r="24" spans="1:12" x14ac:dyDescent="0.15">
      <c r="A24" s="6" t="s">
        <v>130</v>
      </c>
      <c r="B24" s="7">
        <v>0.7</v>
      </c>
      <c r="C24" s="47">
        <v>56</v>
      </c>
      <c r="D24" s="6" t="s">
        <v>95</v>
      </c>
      <c r="E24" s="7">
        <v>0.9</v>
      </c>
      <c r="F24" s="46">
        <v>99</v>
      </c>
      <c r="G24" s="6" t="s">
        <v>161</v>
      </c>
      <c r="H24" s="7">
        <v>0.85</v>
      </c>
      <c r="I24" s="50">
        <v>97.75</v>
      </c>
      <c r="J24" s="6"/>
      <c r="K24" s="8"/>
      <c r="L24" s="43"/>
    </row>
    <row r="25" spans="1:12" x14ac:dyDescent="0.15">
      <c r="A25" s="6"/>
      <c r="B25" s="8"/>
      <c r="C25" s="43"/>
      <c r="D25" s="6"/>
      <c r="E25" s="8"/>
      <c r="F25" s="43"/>
      <c r="G25" s="6" t="s">
        <v>144</v>
      </c>
      <c r="H25" s="7">
        <v>0.9</v>
      </c>
      <c r="I25" s="50">
        <v>103.5</v>
      </c>
      <c r="J25" s="6"/>
      <c r="K25" s="8"/>
      <c r="L25" s="43"/>
    </row>
    <row r="26" spans="1:12" x14ac:dyDescent="0.15">
      <c r="A26" s="29" t="s">
        <v>65</v>
      </c>
      <c r="B26" s="8"/>
      <c r="C26" s="43"/>
      <c r="D26" s="29" t="s">
        <v>81</v>
      </c>
      <c r="E26" s="8"/>
      <c r="F26" s="43"/>
      <c r="G26" s="6" t="s">
        <v>145</v>
      </c>
      <c r="H26" s="7">
        <v>0.8</v>
      </c>
      <c r="I26" s="50">
        <v>92</v>
      </c>
      <c r="J26" s="6"/>
      <c r="K26" s="8"/>
      <c r="L26" s="43"/>
    </row>
    <row r="27" spans="1:12" x14ac:dyDescent="0.15">
      <c r="A27" s="6" t="s">
        <v>59</v>
      </c>
      <c r="B27" s="8"/>
      <c r="C27" s="43"/>
      <c r="D27" s="6" t="s">
        <v>63</v>
      </c>
      <c r="E27" s="8"/>
      <c r="F27" s="43"/>
      <c r="G27" s="6"/>
      <c r="H27" s="8"/>
      <c r="I27" s="43"/>
      <c r="J27" s="6"/>
      <c r="K27" s="8"/>
      <c r="L27" s="43"/>
    </row>
    <row r="28" spans="1:12" x14ac:dyDescent="0.15">
      <c r="A28" s="6" t="s">
        <v>37</v>
      </c>
      <c r="B28" s="8"/>
      <c r="C28" s="43"/>
      <c r="D28" s="6" t="s">
        <v>37</v>
      </c>
      <c r="E28" s="8"/>
      <c r="F28" s="43"/>
      <c r="G28" s="29" t="s">
        <v>91</v>
      </c>
      <c r="H28" s="8"/>
      <c r="I28" s="43"/>
      <c r="J28" s="6"/>
      <c r="K28" s="8"/>
      <c r="L28" s="43"/>
    </row>
    <row r="29" spans="1:12" x14ac:dyDescent="0.15">
      <c r="A29" s="6"/>
      <c r="B29" s="8"/>
      <c r="C29" s="43"/>
      <c r="D29" s="6"/>
      <c r="E29" s="8"/>
      <c r="F29" s="43"/>
      <c r="G29" s="6" t="s">
        <v>105</v>
      </c>
      <c r="H29" s="7">
        <v>1</v>
      </c>
      <c r="I29" s="28">
        <v>95</v>
      </c>
      <c r="J29" s="6"/>
      <c r="K29" s="8"/>
      <c r="L29" s="43"/>
    </row>
    <row r="30" spans="1:12" x14ac:dyDescent="0.15">
      <c r="A30" s="6"/>
      <c r="B30" s="8"/>
      <c r="C30" s="43"/>
      <c r="D30" s="6"/>
      <c r="E30" s="8"/>
      <c r="F30" s="43"/>
      <c r="G30" s="6" t="s">
        <v>105</v>
      </c>
      <c r="H30" s="7">
        <v>1.1000000000000001</v>
      </c>
      <c r="I30" s="28">
        <v>104.50000000000001</v>
      </c>
      <c r="J30" s="6"/>
      <c r="K30" s="8"/>
      <c r="L30" s="43"/>
    </row>
    <row r="31" spans="1:12" x14ac:dyDescent="0.15">
      <c r="A31" s="6"/>
      <c r="B31" s="8"/>
      <c r="C31" s="43"/>
      <c r="D31" s="6"/>
      <c r="E31" s="8"/>
      <c r="F31" s="43"/>
      <c r="G31" s="6" t="s">
        <v>105</v>
      </c>
      <c r="H31" s="7">
        <v>1</v>
      </c>
      <c r="I31" s="28">
        <v>95</v>
      </c>
      <c r="J31" s="6"/>
      <c r="K31" s="8"/>
      <c r="L31" s="43"/>
    </row>
    <row r="32" spans="1:12" x14ac:dyDescent="0.15">
      <c r="A32" s="6"/>
      <c r="B32" s="8"/>
      <c r="C32" s="43"/>
      <c r="D32" s="6"/>
      <c r="E32" s="8"/>
      <c r="F32" s="43"/>
      <c r="G32" s="6" t="s">
        <v>105</v>
      </c>
      <c r="H32" s="7">
        <v>1.1000000000000001</v>
      </c>
      <c r="I32" s="28">
        <v>104.50000000000001</v>
      </c>
      <c r="J32" s="6"/>
      <c r="K32" s="8"/>
      <c r="L32" s="43"/>
    </row>
    <row r="33" spans="1:12" x14ac:dyDescent="0.15">
      <c r="A33" s="6"/>
      <c r="B33" s="8"/>
      <c r="C33" s="43"/>
      <c r="D33" s="6"/>
      <c r="E33" s="8"/>
      <c r="F33" s="43"/>
      <c r="G33" s="6" t="s">
        <v>105</v>
      </c>
      <c r="H33" s="7">
        <v>1</v>
      </c>
      <c r="I33" s="28">
        <v>95</v>
      </c>
      <c r="J33" s="6"/>
      <c r="K33" s="8"/>
      <c r="L33" s="43"/>
    </row>
    <row r="34" spans="1:12" x14ac:dyDescent="0.15">
      <c r="A34" s="6"/>
      <c r="B34" s="8"/>
      <c r="C34" s="43"/>
      <c r="D34" s="6"/>
      <c r="E34" s="8"/>
      <c r="F34" s="43"/>
      <c r="G34" s="6" t="s">
        <v>105</v>
      </c>
      <c r="H34" s="7">
        <v>1.1000000000000001</v>
      </c>
      <c r="I34" s="28">
        <v>104.50000000000001</v>
      </c>
      <c r="J34" s="6"/>
      <c r="K34" s="8"/>
      <c r="L34" s="43"/>
    </row>
    <row r="35" spans="1:12" x14ac:dyDescent="0.15">
      <c r="A35" s="6"/>
      <c r="B35" s="8"/>
      <c r="C35" s="43"/>
      <c r="D35" s="6"/>
      <c r="E35" s="8"/>
      <c r="F35" s="43"/>
      <c r="G35" s="6"/>
      <c r="H35" s="8"/>
      <c r="I35" s="43"/>
      <c r="J35" s="6"/>
      <c r="K35" s="8"/>
      <c r="L35" s="43"/>
    </row>
    <row r="36" spans="1:12" x14ac:dyDescent="0.15">
      <c r="A36" s="6"/>
      <c r="B36" s="8"/>
      <c r="C36" s="43"/>
      <c r="D36" s="6"/>
      <c r="E36" s="8"/>
      <c r="F36" s="43"/>
      <c r="G36" s="29" t="s">
        <v>47</v>
      </c>
      <c r="H36" s="8"/>
      <c r="I36" s="43"/>
      <c r="J36" s="6"/>
      <c r="K36" s="8"/>
      <c r="L36" s="43"/>
    </row>
    <row r="37" spans="1:12" x14ac:dyDescent="0.15">
      <c r="A37" s="6"/>
      <c r="B37" s="8"/>
      <c r="C37" s="43"/>
      <c r="D37" s="6"/>
      <c r="E37" s="8"/>
      <c r="F37" s="43"/>
      <c r="G37" s="6" t="s">
        <v>63</v>
      </c>
      <c r="H37" s="8"/>
      <c r="I37" s="43"/>
      <c r="J37" s="6"/>
      <c r="K37" s="8"/>
      <c r="L37" s="43"/>
    </row>
    <row r="38" spans="1:12" ht="12" thickBot="1" x14ac:dyDescent="0.2">
      <c r="A38" s="9"/>
      <c r="B38" s="10"/>
      <c r="C38" s="48"/>
      <c r="D38" s="9"/>
      <c r="E38" s="10"/>
      <c r="F38" s="48"/>
      <c r="G38" s="9" t="s">
        <v>37</v>
      </c>
      <c r="H38" s="10"/>
      <c r="I38" s="48"/>
      <c r="J38" s="9"/>
      <c r="K38" s="10"/>
      <c r="L38" s="4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EF13AB-EA18-44B1-A664-AB1110B76FDE}">
  <sheetPr codeName="Sheet8"/>
  <dimension ref="A1:L232"/>
  <sheetViews>
    <sheetView zoomScaleNormal="100" workbookViewId="0">
      <pane ySplit="11" topLeftCell="A12" activePane="bottomLeft" state="frozen"/>
      <selection pane="bottomLeft" activeCell="D13" sqref="D13"/>
    </sheetView>
  </sheetViews>
  <sheetFormatPr defaultRowHeight="11.25" outlineLevelRow="1" x14ac:dyDescent="0.15"/>
  <cols>
    <col min="1" max="1" width="48.42578125" style="3" customWidth="1"/>
    <col min="2" max="3" width="8.85546875" style="2" customWidth="1"/>
    <col min="4" max="4" width="48.42578125" style="3" customWidth="1"/>
    <col min="5" max="6" width="8.85546875" style="2" customWidth="1"/>
    <col min="7" max="7" width="48.42578125" style="3" customWidth="1"/>
    <col min="8" max="9" width="8.85546875" style="2" customWidth="1"/>
    <col min="10" max="10" width="48.42578125" style="3" customWidth="1"/>
    <col min="11" max="12" width="8.85546875" style="2" customWidth="1"/>
    <col min="13" max="16384" width="9.140625" style="3"/>
  </cols>
  <sheetData>
    <row r="1" spans="1:12" x14ac:dyDescent="0.15">
      <c r="A1" s="106" t="s">
        <v>92</v>
      </c>
      <c r="B1" s="106"/>
      <c r="C1" s="106"/>
      <c r="D1" s="106"/>
      <c r="E1" s="106"/>
      <c r="F1" s="106"/>
      <c r="G1" s="106"/>
    </row>
    <row r="2" spans="1:12" ht="12" thickBot="1" x14ac:dyDescent="0.2">
      <c r="A2" s="1"/>
      <c r="B2" s="4"/>
      <c r="C2" s="1"/>
      <c r="D2" s="1"/>
      <c r="E2" s="1"/>
      <c r="F2" s="1"/>
      <c r="G2" s="1"/>
    </row>
    <row r="3" spans="1:12" ht="15" x14ac:dyDescent="0.2">
      <c r="A3" s="14" t="s">
        <v>0</v>
      </c>
      <c r="B3" s="53">
        <v>200</v>
      </c>
      <c r="C3" s="53" t="s">
        <v>181</v>
      </c>
      <c r="D3" s="1"/>
      <c r="E3" s="1"/>
      <c r="F3" s="1"/>
      <c r="G3" s="1"/>
    </row>
    <row r="4" spans="1:12" ht="15" x14ac:dyDescent="0.2">
      <c r="A4" s="15" t="s">
        <v>34</v>
      </c>
      <c r="B4" s="54">
        <v>140</v>
      </c>
      <c r="C4" s="54" t="s">
        <v>182</v>
      </c>
      <c r="D4" s="1"/>
      <c r="E4" s="1"/>
      <c r="F4" s="1"/>
      <c r="G4" s="1"/>
    </row>
    <row r="5" spans="1:12" ht="15" x14ac:dyDescent="0.2">
      <c r="A5" s="16" t="s">
        <v>173</v>
      </c>
      <c r="B5" s="55">
        <v>90</v>
      </c>
      <c r="C5" s="55" t="s">
        <v>183</v>
      </c>
      <c r="D5" s="1"/>
      <c r="E5" s="1"/>
      <c r="F5" s="1"/>
      <c r="G5" s="1"/>
    </row>
    <row r="6" spans="1:12" ht="15" x14ac:dyDescent="0.2">
      <c r="A6" s="17" t="s">
        <v>175</v>
      </c>
      <c r="B6" s="56">
        <v>110</v>
      </c>
      <c r="C6" s="56" t="s">
        <v>184</v>
      </c>
      <c r="D6" s="1"/>
      <c r="E6" s="1"/>
      <c r="F6" s="1"/>
      <c r="G6" s="1"/>
    </row>
    <row r="7" spans="1:12" ht="15" x14ac:dyDescent="0.2">
      <c r="A7" s="18" t="s">
        <v>42</v>
      </c>
      <c r="B7" s="57">
        <v>95</v>
      </c>
      <c r="C7" s="57" t="s">
        <v>185</v>
      </c>
      <c r="D7" s="1"/>
      <c r="E7" s="1"/>
      <c r="F7" s="1"/>
      <c r="G7" s="1"/>
    </row>
    <row r="8" spans="1:12" ht="15" x14ac:dyDescent="0.2">
      <c r="A8" s="19" t="s">
        <v>49</v>
      </c>
      <c r="B8" s="58">
        <v>115</v>
      </c>
      <c r="C8" s="58" t="s">
        <v>186</v>
      </c>
      <c r="D8" s="1"/>
      <c r="E8" s="1"/>
      <c r="F8" s="1"/>
      <c r="G8" s="1"/>
    </row>
    <row r="9" spans="1:12" ht="15" x14ac:dyDescent="0.2">
      <c r="A9" s="20" t="s">
        <v>176</v>
      </c>
      <c r="B9" s="59">
        <v>200</v>
      </c>
      <c r="C9" s="59" t="s">
        <v>187</v>
      </c>
      <c r="D9" s="1"/>
      <c r="E9" s="1"/>
      <c r="F9" s="1"/>
      <c r="G9" s="1"/>
    </row>
    <row r="10" spans="1:12" ht="15.75" thickBot="1" x14ac:dyDescent="0.25">
      <c r="A10" s="21" t="s">
        <v>23</v>
      </c>
      <c r="B10" s="60">
        <v>80</v>
      </c>
      <c r="C10" s="60" t="s">
        <v>188</v>
      </c>
      <c r="D10" s="1"/>
      <c r="E10" s="1"/>
      <c r="F10" s="1"/>
      <c r="G10" s="1"/>
    </row>
    <row r="11" spans="1:12" ht="12" thickBot="1" x14ac:dyDescent="0.2">
      <c r="A11" s="1"/>
      <c r="B11" s="4"/>
      <c r="C11" s="1"/>
      <c r="D11" s="1"/>
      <c r="E11" s="1"/>
      <c r="F11" s="1"/>
      <c r="G11" s="1"/>
    </row>
    <row r="12" spans="1:12" s="13" customFormat="1" ht="15.75" thickBot="1" x14ac:dyDescent="0.3">
      <c r="A12" s="33" t="s">
        <v>4</v>
      </c>
      <c r="B12" s="34" t="s">
        <v>93</v>
      </c>
      <c r="C12" s="40" t="s">
        <v>94</v>
      </c>
      <c r="D12" s="33" t="s">
        <v>5</v>
      </c>
      <c r="E12" s="34" t="s">
        <v>93</v>
      </c>
      <c r="F12" s="40" t="s">
        <v>94</v>
      </c>
      <c r="G12" s="33" t="s">
        <v>6</v>
      </c>
      <c r="H12" s="34" t="s">
        <v>93</v>
      </c>
      <c r="I12" s="40" t="s">
        <v>94</v>
      </c>
      <c r="J12" s="33" t="s">
        <v>7</v>
      </c>
      <c r="K12" s="34" t="s">
        <v>93</v>
      </c>
      <c r="L12" s="40" t="s">
        <v>94</v>
      </c>
    </row>
    <row r="13" spans="1:12" outlineLevel="1" x14ac:dyDescent="0.15">
      <c r="A13" s="30" t="s">
        <v>0</v>
      </c>
      <c r="B13" s="5"/>
      <c r="C13" s="41"/>
      <c r="D13" s="30" t="s">
        <v>0</v>
      </c>
      <c r="E13" s="5"/>
      <c r="F13" s="41"/>
      <c r="G13" s="30" t="s">
        <v>0</v>
      </c>
      <c r="H13" s="5"/>
      <c r="I13" s="41"/>
      <c r="J13" s="30" t="s">
        <v>0</v>
      </c>
      <c r="K13" s="5"/>
      <c r="L13" s="41"/>
    </row>
    <row r="14" spans="1:12" outlineLevel="1" x14ac:dyDescent="0.15">
      <c r="A14" s="6" t="s">
        <v>95</v>
      </c>
      <c r="B14" s="7">
        <v>0.6</v>
      </c>
      <c r="C14" s="42">
        <f>$B$3*B14</f>
        <v>120</v>
      </c>
      <c r="D14" s="6" t="s">
        <v>131</v>
      </c>
      <c r="E14" s="7">
        <v>0.6</v>
      </c>
      <c r="F14" s="42">
        <f>$B$3*E14</f>
        <v>120</v>
      </c>
      <c r="G14" s="6" t="s">
        <v>103</v>
      </c>
      <c r="H14" s="7">
        <v>0.6</v>
      </c>
      <c r="I14" s="42">
        <f>$B$3*H14</f>
        <v>120</v>
      </c>
      <c r="J14" s="6" t="s">
        <v>162</v>
      </c>
      <c r="K14" s="7">
        <v>0.6</v>
      </c>
      <c r="L14" s="42">
        <f>B3*K14</f>
        <v>120</v>
      </c>
    </row>
    <row r="15" spans="1:12" outlineLevel="1" x14ac:dyDescent="0.15">
      <c r="A15" s="6" t="s">
        <v>95</v>
      </c>
      <c r="B15" s="7">
        <v>0.7</v>
      </c>
      <c r="C15" s="42">
        <f>$B$3*B15</f>
        <v>140</v>
      </c>
      <c r="D15" s="6"/>
      <c r="E15" s="8"/>
      <c r="F15" s="43"/>
      <c r="G15" s="6" t="s">
        <v>149</v>
      </c>
      <c r="H15" s="7">
        <v>0.7</v>
      </c>
      <c r="I15" s="42">
        <f>$B$3*H15</f>
        <v>140</v>
      </c>
      <c r="J15" s="6"/>
      <c r="K15" s="8"/>
      <c r="L15" s="43"/>
    </row>
    <row r="16" spans="1:12" outlineLevel="1" x14ac:dyDescent="0.15">
      <c r="A16" s="6" t="s">
        <v>96</v>
      </c>
      <c r="B16" s="7">
        <v>0.8</v>
      </c>
      <c r="C16" s="42">
        <f>$B$3*B16</f>
        <v>160</v>
      </c>
      <c r="D16" s="29" t="s">
        <v>20</v>
      </c>
      <c r="E16" s="8"/>
      <c r="F16" s="43"/>
      <c r="G16" s="6"/>
      <c r="H16" s="8"/>
      <c r="I16" s="43"/>
      <c r="J16" s="29" t="s">
        <v>20</v>
      </c>
      <c r="K16" s="8"/>
      <c r="L16" s="43"/>
    </row>
    <row r="17" spans="1:12" outlineLevel="1" x14ac:dyDescent="0.15">
      <c r="A17" s="6"/>
      <c r="B17" s="8"/>
      <c r="C17" s="43"/>
      <c r="D17" s="6" t="s">
        <v>96</v>
      </c>
      <c r="E17" s="7">
        <v>0.9</v>
      </c>
      <c r="F17" s="46">
        <f>$B$6*E17</f>
        <v>99</v>
      </c>
      <c r="G17" s="29" t="s">
        <v>82</v>
      </c>
      <c r="H17" s="8"/>
      <c r="I17" s="43"/>
      <c r="J17" s="6" t="s">
        <v>135</v>
      </c>
      <c r="K17" s="7">
        <v>0.9</v>
      </c>
      <c r="L17" s="46">
        <f>$B$6*K17</f>
        <v>99</v>
      </c>
    </row>
    <row r="18" spans="1:12" outlineLevel="1" x14ac:dyDescent="0.15">
      <c r="A18" s="29" t="s">
        <v>83</v>
      </c>
      <c r="B18" s="8"/>
      <c r="C18" s="43"/>
      <c r="D18" s="6"/>
      <c r="E18" s="8"/>
      <c r="F18" s="43"/>
      <c r="G18" s="6" t="s">
        <v>97</v>
      </c>
      <c r="H18" s="7">
        <v>0.95</v>
      </c>
      <c r="I18" s="28">
        <f>$B$7*H18</f>
        <v>90.25</v>
      </c>
      <c r="J18" s="6"/>
      <c r="K18" s="8"/>
      <c r="L18" s="43"/>
    </row>
    <row r="19" spans="1:12" outlineLevel="1" x14ac:dyDescent="0.15">
      <c r="A19" s="6" t="s">
        <v>97</v>
      </c>
      <c r="B19" s="7">
        <v>0.9</v>
      </c>
      <c r="C19" s="28">
        <f>$B$7*B19</f>
        <v>85.5</v>
      </c>
      <c r="D19" s="29" t="s">
        <v>84</v>
      </c>
      <c r="E19" s="8"/>
      <c r="F19" s="43"/>
      <c r="G19" s="6"/>
      <c r="H19" s="8"/>
      <c r="I19" s="43"/>
      <c r="J19" s="29" t="s">
        <v>23</v>
      </c>
      <c r="K19" s="8"/>
      <c r="L19" s="43"/>
    </row>
    <row r="20" spans="1:12" outlineLevel="1" x14ac:dyDescent="0.15">
      <c r="A20" s="6"/>
      <c r="B20" s="8"/>
      <c r="C20" s="43"/>
      <c r="D20" s="6" t="s">
        <v>98</v>
      </c>
      <c r="E20" s="7">
        <v>0.6</v>
      </c>
      <c r="F20" s="46">
        <f t="shared" ref="F20:F21" si="0">$B$6*E20</f>
        <v>66</v>
      </c>
      <c r="G20" s="29" t="s">
        <v>85</v>
      </c>
      <c r="H20" s="8"/>
      <c r="I20" s="43"/>
      <c r="J20" s="6" t="s">
        <v>104</v>
      </c>
      <c r="K20" s="7">
        <v>0.6</v>
      </c>
      <c r="L20" s="47">
        <f>$B$10*K20</f>
        <v>48</v>
      </c>
    </row>
    <row r="21" spans="1:12" outlineLevel="1" x14ac:dyDescent="0.15">
      <c r="A21" s="29" t="s">
        <v>1</v>
      </c>
      <c r="B21" s="8"/>
      <c r="C21" s="43"/>
      <c r="D21" s="6" t="s">
        <v>99</v>
      </c>
      <c r="E21" s="7">
        <v>0.7</v>
      </c>
      <c r="F21" s="46">
        <f t="shared" si="0"/>
        <v>77</v>
      </c>
      <c r="G21" s="6" t="s">
        <v>98</v>
      </c>
      <c r="H21" s="7">
        <v>0.6</v>
      </c>
      <c r="I21" s="28">
        <f t="shared" ref="I21:I22" si="1">$B$7*H21</f>
        <v>57</v>
      </c>
      <c r="J21" s="6"/>
      <c r="K21" s="8"/>
      <c r="L21" s="43"/>
    </row>
    <row r="22" spans="1:12" outlineLevel="1" x14ac:dyDescent="0.15">
      <c r="A22" s="6" t="s">
        <v>98</v>
      </c>
      <c r="B22" s="7">
        <v>0.6</v>
      </c>
      <c r="C22" s="28">
        <f t="shared" ref="C22:C25" si="2">$B$7*B22</f>
        <v>57</v>
      </c>
      <c r="D22" s="6"/>
      <c r="E22" s="8"/>
      <c r="F22" s="43"/>
      <c r="G22" s="6" t="s">
        <v>99</v>
      </c>
      <c r="H22" s="7">
        <v>0.7</v>
      </c>
      <c r="I22" s="28">
        <f t="shared" si="1"/>
        <v>66.5</v>
      </c>
      <c r="J22" s="6"/>
      <c r="K22" s="8"/>
      <c r="L22" s="43"/>
    </row>
    <row r="23" spans="1:12" outlineLevel="1" x14ac:dyDescent="0.15">
      <c r="A23" s="6" t="s">
        <v>98</v>
      </c>
      <c r="B23" s="7">
        <v>0.7</v>
      </c>
      <c r="C23" s="28">
        <f t="shared" si="2"/>
        <v>66.5</v>
      </c>
      <c r="D23" s="29" t="s">
        <v>21</v>
      </c>
      <c r="E23" s="8"/>
      <c r="F23" s="43"/>
      <c r="G23" s="6"/>
      <c r="H23" s="8"/>
      <c r="I23" s="43"/>
      <c r="J23" s="6"/>
      <c r="K23" s="8"/>
      <c r="L23" s="43"/>
    </row>
    <row r="24" spans="1:12" outlineLevel="1" x14ac:dyDescent="0.15">
      <c r="A24" s="6" t="s">
        <v>98</v>
      </c>
      <c r="B24" s="7">
        <v>0.75</v>
      </c>
      <c r="C24" s="28">
        <f t="shared" si="2"/>
        <v>71.25</v>
      </c>
      <c r="D24" s="6" t="s">
        <v>132</v>
      </c>
      <c r="E24" s="7">
        <v>0.6</v>
      </c>
      <c r="F24" s="46">
        <f t="shared" ref="F24:F25" si="3">$B$6*E24</f>
        <v>66</v>
      </c>
      <c r="G24" s="29" t="s">
        <v>2</v>
      </c>
      <c r="H24" s="8"/>
      <c r="I24" s="43"/>
      <c r="J24" s="6"/>
      <c r="K24" s="8"/>
      <c r="L24" s="43"/>
    </row>
    <row r="25" spans="1:12" outlineLevel="1" x14ac:dyDescent="0.15">
      <c r="A25" s="6" t="s">
        <v>99</v>
      </c>
      <c r="B25" s="7">
        <v>0.8</v>
      </c>
      <c r="C25" s="28">
        <f t="shared" si="2"/>
        <v>76</v>
      </c>
      <c r="D25" s="6" t="s">
        <v>133</v>
      </c>
      <c r="E25" s="7">
        <v>0.7</v>
      </c>
      <c r="F25" s="46">
        <f t="shared" si="3"/>
        <v>77</v>
      </c>
      <c r="G25" s="6" t="s">
        <v>100</v>
      </c>
      <c r="H25" s="7">
        <v>0.6</v>
      </c>
      <c r="I25" s="28">
        <f t="shared" ref="I25:I26" si="4">$B$7*H25</f>
        <v>57</v>
      </c>
      <c r="J25" s="6"/>
      <c r="K25" s="8"/>
      <c r="L25" s="43"/>
    </row>
    <row r="26" spans="1:12" outlineLevel="1" x14ac:dyDescent="0.15">
      <c r="A26" s="6"/>
      <c r="B26" s="8"/>
      <c r="C26" s="43"/>
      <c r="D26" s="6"/>
      <c r="E26" s="8"/>
      <c r="F26" s="43"/>
      <c r="G26" s="6" t="s">
        <v>150</v>
      </c>
      <c r="H26" s="7">
        <v>0.7</v>
      </c>
      <c r="I26" s="28">
        <f t="shared" si="4"/>
        <v>66.5</v>
      </c>
      <c r="J26" s="6"/>
      <c r="K26" s="8"/>
      <c r="L26" s="43"/>
    </row>
    <row r="27" spans="1:12" outlineLevel="1" x14ac:dyDescent="0.15">
      <c r="A27" s="29" t="s">
        <v>2</v>
      </c>
      <c r="B27" s="8"/>
      <c r="C27" s="43"/>
      <c r="D27" s="29" t="s">
        <v>22</v>
      </c>
      <c r="E27" s="8"/>
      <c r="F27" s="43"/>
      <c r="G27" s="6"/>
      <c r="H27" s="8"/>
      <c r="I27" s="43"/>
      <c r="J27" s="6"/>
      <c r="K27" s="8"/>
      <c r="L27" s="43"/>
    </row>
    <row r="28" spans="1:12" outlineLevel="1" x14ac:dyDescent="0.15">
      <c r="A28" s="6" t="s">
        <v>100</v>
      </c>
      <c r="B28" s="7">
        <v>0.6</v>
      </c>
      <c r="C28" s="28">
        <f t="shared" ref="C28:C30" si="5">$B$7*B28</f>
        <v>57</v>
      </c>
      <c r="D28" s="6" t="s">
        <v>134</v>
      </c>
      <c r="E28" s="7">
        <v>0.75</v>
      </c>
      <c r="F28" s="47">
        <f>$B$10*E28</f>
        <v>60</v>
      </c>
      <c r="G28" s="29" t="s">
        <v>3</v>
      </c>
      <c r="H28" s="8"/>
      <c r="I28" s="43"/>
      <c r="J28" s="6"/>
      <c r="K28" s="8"/>
      <c r="L28" s="43"/>
    </row>
    <row r="29" spans="1:12" outlineLevel="1" x14ac:dyDescent="0.15">
      <c r="A29" s="6" t="s">
        <v>100</v>
      </c>
      <c r="B29" s="7">
        <v>0.7</v>
      </c>
      <c r="C29" s="28">
        <f t="shared" si="5"/>
        <v>66.5</v>
      </c>
      <c r="D29" s="6"/>
      <c r="E29" s="8"/>
      <c r="F29" s="43"/>
      <c r="G29" s="6" t="s">
        <v>151</v>
      </c>
      <c r="H29" s="7">
        <v>0.75</v>
      </c>
      <c r="I29" s="49">
        <f>$B$5*H29</f>
        <v>67.5</v>
      </c>
      <c r="J29" s="6"/>
      <c r="K29" s="8"/>
      <c r="L29" s="43"/>
    </row>
    <row r="30" spans="1:12" outlineLevel="1" x14ac:dyDescent="0.15">
      <c r="A30" s="6" t="s">
        <v>101</v>
      </c>
      <c r="B30" s="7">
        <v>0.8</v>
      </c>
      <c r="C30" s="28">
        <f t="shared" si="5"/>
        <v>76</v>
      </c>
      <c r="D30" s="6"/>
      <c r="E30" s="8"/>
      <c r="F30" s="43"/>
      <c r="G30" s="6"/>
      <c r="H30" s="8"/>
      <c r="I30" s="43"/>
      <c r="J30" s="6"/>
      <c r="K30" s="8"/>
      <c r="L30" s="43"/>
    </row>
    <row r="31" spans="1:12" outlineLevel="1" x14ac:dyDescent="0.15">
      <c r="A31" s="6"/>
      <c r="B31" s="8"/>
      <c r="C31" s="43"/>
      <c r="D31" s="6"/>
      <c r="E31" s="8"/>
      <c r="F31" s="43"/>
      <c r="G31" s="6"/>
      <c r="H31" s="8"/>
      <c r="I31" s="43"/>
      <c r="J31" s="6"/>
      <c r="K31" s="8"/>
      <c r="L31" s="43"/>
    </row>
    <row r="32" spans="1:12" outlineLevel="1" x14ac:dyDescent="0.15">
      <c r="A32" s="29" t="s">
        <v>3</v>
      </c>
      <c r="B32" s="8"/>
      <c r="C32" s="43"/>
      <c r="D32" s="6"/>
      <c r="E32" s="8"/>
      <c r="F32" s="43"/>
      <c r="G32" s="6"/>
      <c r="H32" s="8"/>
      <c r="I32" s="43"/>
      <c r="J32" s="6"/>
      <c r="K32" s="8"/>
      <c r="L32" s="43"/>
    </row>
    <row r="33" spans="1:12" ht="12" outlineLevel="1" thickBot="1" x14ac:dyDescent="0.2">
      <c r="A33" s="9" t="s">
        <v>102</v>
      </c>
      <c r="B33" s="36">
        <v>0.75</v>
      </c>
      <c r="C33" s="44">
        <f>$B$5*B33</f>
        <v>67.5</v>
      </c>
      <c r="D33" s="9"/>
      <c r="E33" s="10"/>
      <c r="F33" s="48"/>
      <c r="G33" s="9"/>
      <c r="H33" s="10"/>
      <c r="I33" s="48"/>
      <c r="J33" s="9"/>
      <c r="K33" s="10"/>
      <c r="L33" s="48"/>
    </row>
    <row r="34" spans="1:12" ht="12" thickBot="1" x14ac:dyDescent="0.2">
      <c r="C34" s="45"/>
      <c r="F34" s="45"/>
      <c r="I34" s="45"/>
      <c r="L34" s="45"/>
    </row>
    <row r="35" spans="1:12" s="13" customFormat="1" ht="15.75" thickBot="1" x14ac:dyDescent="0.3">
      <c r="A35" s="33" t="s">
        <v>8</v>
      </c>
      <c r="B35" s="34" t="s">
        <v>93</v>
      </c>
      <c r="C35" s="40" t="s">
        <v>94</v>
      </c>
      <c r="D35" s="33" t="s">
        <v>9</v>
      </c>
      <c r="E35" s="34" t="s">
        <v>93</v>
      </c>
      <c r="F35" s="40" t="s">
        <v>94</v>
      </c>
      <c r="G35" s="35" t="s">
        <v>10</v>
      </c>
      <c r="H35" s="34" t="s">
        <v>93</v>
      </c>
      <c r="I35" s="40" t="s">
        <v>94</v>
      </c>
      <c r="J35" s="33" t="s">
        <v>11</v>
      </c>
      <c r="K35" s="34" t="s">
        <v>93</v>
      </c>
      <c r="L35" s="40" t="s">
        <v>94</v>
      </c>
    </row>
    <row r="36" spans="1:12" outlineLevel="1" x14ac:dyDescent="0.15">
      <c r="A36" s="30" t="s">
        <v>0</v>
      </c>
      <c r="B36" s="5"/>
      <c r="C36" s="41"/>
      <c r="D36" s="30" t="s">
        <v>0</v>
      </c>
      <c r="E36" s="5"/>
      <c r="F36" s="41"/>
      <c r="G36" s="31" t="s">
        <v>34</v>
      </c>
      <c r="H36" s="5"/>
      <c r="I36" s="41"/>
      <c r="J36" s="30" t="s">
        <v>35</v>
      </c>
      <c r="K36" s="5"/>
      <c r="L36" s="41"/>
    </row>
    <row r="37" spans="1:12" outlineLevel="1" x14ac:dyDescent="0.15">
      <c r="A37" s="6" t="s">
        <v>103</v>
      </c>
      <c r="B37" s="7">
        <v>0.6</v>
      </c>
      <c r="C37" s="42">
        <f>$B$3*B37</f>
        <v>120</v>
      </c>
      <c r="D37" s="6" t="s">
        <v>105</v>
      </c>
      <c r="E37" s="7">
        <v>0.6</v>
      </c>
      <c r="F37" s="42">
        <f>$B$3*E37</f>
        <v>120</v>
      </c>
      <c r="G37" s="11" t="s">
        <v>103</v>
      </c>
      <c r="H37" s="7">
        <v>0.6</v>
      </c>
      <c r="I37" s="52">
        <f>$B$4*H37</f>
        <v>84</v>
      </c>
      <c r="J37" s="6" t="s">
        <v>36</v>
      </c>
      <c r="K37" s="8"/>
      <c r="L37" s="43"/>
    </row>
    <row r="38" spans="1:12" outlineLevel="1" x14ac:dyDescent="0.15">
      <c r="A38" s="6" t="s">
        <v>103</v>
      </c>
      <c r="B38" s="7">
        <v>0.7</v>
      </c>
      <c r="C38" s="42">
        <f>$B$3*B38</f>
        <v>140</v>
      </c>
      <c r="D38" s="6" t="s">
        <v>105</v>
      </c>
      <c r="E38" s="7">
        <v>0.7</v>
      </c>
      <c r="F38" s="42">
        <f t="shared" ref="F38:F39" si="6">$B$3*E38</f>
        <v>140</v>
      </c>
      <c r="G38" s="11" t="s">
        <v>103</v>
      </c>
      <c r="H38" s="7">
        <v>0.7</v>
      </c>
      <c r="I38" s="52">
        <f t="shared" ref="I38:I40" si="7">$B$4*H38</f>
        <v>98</v>
      </c>
      <c r="J38" s="6" t="s">
        <v>37</v>
      </c>
      <c r="K38" s="8"/>
      <c r="L38" s="43"/>
    </row>
    <row r="39" spans="1:12" outlineLevel="1" x14ac:dyDescent="0.15">
      <c r="A39" s="6" t="s">
        <v>104</v>
      </c>
      <c r="B39" s="7">
        <v>0.8</v>
      </c>
      <c r="C39" s="42">
        <f>$B$3*B39</f>
        <v>160</v>
      </c>
      <c r="D39" s="6" t="s">
        <v>135</v>
      </c>
      <c r="E39" s="7">
        <v>0.8</v>
      </c>
      <c r="F39" s="42">
        <f t="shared" si="6"/>
        <v>160</v>
      </c>
      <c r="G39" s="11" t="s">
        <v>152</v>
      </c>
      <c r="H39" s="7">
        <v>0.8</v>
      </c>
      <c r="I39" s="52">
        <f t="shared" si="7"/>
        <v>112</v>
      </c>
      <c r="J39" s="6"/>
      <c r="K39" s="8"/>
      <c r="L39" s="43"/>
    </row>
    <row r="40" spans="1:12" outlineLevel="1" x14ac:dyDescent="0.15">
      <c r="A40" s="6"/>
      <c r="B40" s="8"/>
      <c r="C40" s="43"/>
      <c r="D40" s="6"/>
      <c r="E40" s="8"/>
      <c r="F40" s="43"/>
      <c r="G40" s="11" t="s">
        <v>174</v>
      </c>
      <c r="H40" s="7">
        <v>0.9</v>
      </c>
      <c r="I40" s="52">
        <f t="shared" si="7"/>
        <v>126</v>
      </c>
      <c r="J40" s="29" t="s">
        <v>38</v>
      </c>
      <c r="K40" s="8"/>
      <c r="L40" s="43"/>
    </row>
    <row r="41" spans="1:12" outlineLevel="1" x14ac:dyDescent="0.15">
      <c r="A41" s="29" t="s">
        <v>24</v>
      </c>
      <c r="B41" s="8"/>
      <c r="C41" s="43"/>
      <c r="D41" s="29" t="s">
        <v>1</v>
      </c>
      <c r="E41" s="8"/>
      <c r="F41" s="43"/>
      <c r="G41" s="11"/>
      <c r="H41" s="8"/>
      <c r="I41" s="43"/>
      <c r="J41" s="6" t="s">
        <v>163</v>
      </c>
      <c r="K41" s="7">
        <v>0.6</v>
      </c>
      <c r="L41" s="49">
        <f t="shared" ref="L41:L42" si="8">$B$5*K41</f>
        <v>54</v>
      </c>
    </row>
    <row r="42" spans="1:12" outlineLevel="1" x14ac:dyDescent="0.15">
      <c r="A42" s="6" t="s">
        <v>105</v>
      </c>
      <c r="B42" s="7">
        <v>0.6</v>
      </c>
      <c r="C42" s="28">
        <f t="shared" ref="C42:C44" si="9">$B$7*B42</f>
        <v>57</v>
      </c>
      <c r="D42" s="6" t="s">
        <v>105</v>
      </c>
      <c r="E42" s="7">
        <v>0.6</v>
      </c>
      <c r="F42" s="28">
        <f t="shared" ref="F42:F46" si="10">$B$7*E42</f>
        <v>57</v>
      </c>
      <c r="G42" s="32" t="s">
        <v>24</v>
      </c>
      <c r="H42" s="8"/>
      <c r="I42" s="43"/>
      <c r="J42" s="6" t="s">
        <v>164</v>
      </c>
      <c r="K42" s="7">
        <v>0.7</v>
      </c>
      <c r="L42" s="49">
        <f t="shared" si="8"/>
        <v>62.999999999999993</v>
      </c>
    </row>
    <row r="43" spans="1:12" outlineLevel="1" x14ac:dyDescent="0.15">
      <c r="A43" s="6" t="s">
        <v>105</v>
      </c>
      <c r="B43" s="7">
        <v>0.7</v>
      </c>
      <c r="C43" s="28">
        <f t="shared" si="9"/>
        <v>66.5</v>
      </c>
      <c r="D43" s="6" t="s">
        <v>105</v>
      </c>
      <c r="E43" s="7">
        <v>0.7</v>
      </c>
      <c r="F43" s="28">
        <f t="shared" si="10"/>
        <v>66.5</v>
      </c>
      <c r="G43" s="11" t="s">
        <v>95</v>
      </c>
      <c r="H43" s="7">
        <v>0.6</v>
      </c>
      <c r="I43" s="28">
        <f t="shared" ref="I43:I47" si="11">$B$7*H43</f>
        <v>57</v>
      </c>
      <c r="J43" s="6"/>
      <c r="K43" s="8"/>
      <c r="L43" s="43"/>
    </row>
    <row r="44" spans="1:12" outlineLevel="1" x14ac:dyDescent="0.15">
      <c r="A44" s="6" t="s">
        <v>106</v>
      </c>
      <c r="B44" s="7">
        <v>0.8</v>
      </c>
      <c r="C44" s="28">
        <f t="shared" si="9"/>
        <v>76</v>
      </c>
      <c r="D44" s="6" t="s">
        <v>113</v>
      </c>
      <c r="E44" s="7">
        <v>0.75</v>
      </c>
      <c r="F44" s="28">
        <f t="shared" si="10"/>
        <v>71.25</v>
      </c>
      <c r="G44" s="11" t="s">
        <v>95</v>
      </c>
      <c r="H44" s="7">
        <v>0.7</v>
      </c>
      <c r="I44" s="28">
        <f t="shared" si="11"/>
        <v>66.5</v>
      </c>
      <c r="J44" s="29" t="s">
        <v>39</v>
      </c>
      <c r="K44" s="8"/>
      <c r="L44" s="43"/>
    </row>
    <row r="45" spans="1:12" outlineLevel="1" x14ac:dyDescent="0.15">
      <c r="A45" s="6"/>
      <c r="B45" s="8"/>
      <c r="C45" s="43"/>
      <c r="D45" s="6" t="s">
        <v>95</v>
      </c>
      <c r="E45" s="7">
        <v>0.65</v>
      </c>
      <c r="F45" s="28">
        <f t="shared" si="10"/>
        <v>61.75</v>
      </c>
      <c r="G45" s="11" t="s">
        <v>95</v>
      </c>
      <c r="H45" s="7">
        <v>0.8</v>
      </c>
      <c r="I45" s="28">
        <f t="shared" si="11"/>
        <v>76</v>
      </c>
      <c r="J45" s="6" t="s">
        <v>165</v>
      </c>
      <c r="K45" s="7">
        <v>0.6</v>
      </c>
      <c r="L45" s="50">
        <f t="shared" ref="L45:L46" si="12">$B$8*K45</f>
        <v>69</v>
      </c>
    </row>
    <row r="46" spans="1:12" outlineLevel="1" x14ac:dyDescent="0.15">
      <c r="A46" s="29" t="s">
        <v>25</v>
      </c>
      <c r="B46" s="8"/>
      <c r="C46" s="43"/>
      <c r="D46" s="6" t="s">
        <v>95</v>
      </c>
      <c r="E46" s="7">
        <v>0.7</v>
      </c>
      <c r="F46" s="28">
        <f t="shared" si="10"/>
        <v>66.5</v>
      </c>
      <c r="G46" s="11" t="s">
        <v>113</v>
      </c>
      <c r="H46" s="7">
        <v>0.85</v>
      </c>
      <c r="I46" s="28">
        <f t="shared" si="11"/>
        <v>80.75</v>
      </c>
      <c r="J46" s="6" t="s">
        <v>166</v>
      </c>
      <c r="K46" s="7">
        <v>0.7</v>
      </c>
      <c r="L46" s="50">
        <f t="shared" si="12"/>
        <v>80.5</v>
      </c>
    </row>
    <row r="47" spans="1:12" outlineLevel="1" x14ac:dyDescent="0.15">
      <c r="A47" s="6" t="s">
        <v>107</v>
      </c>
      <c r="B47" s="7">
        <v>0.6</v>
      </c>
      <c r="C47" s="50">
        <f t="shared" ref="C47:C50" si="13">$B$8*B47</f>
        <v>69</v>
      </c>
      <c r="D47" s="6"/>
      <c r="E47" s="8"/>
      <c r="F47" s="43"/>
      <c r="G47" s="11" t="s">
        <v>124</v>
      </c>
      <c r="H47" s="7">
        <v>0.8</v>
      </c>
      <c r="I47" s="28">
        <f t="shared" si="11"/>
        <v>76</v>
      </c>
      <c r="J47" s="6"/>
      <c r="K47" s="8"/>
      <c r="L47" s="43"/>
    </row>
    <row r="48" spans="1:12" outlineLevel="1" x14ac:dyDescent="0.15">
      <c r="A48" s="6" t="s">
        <v>107</v>
      </c>
      <c r="B48" s="7">
        <v>0.7</v>
      </c>
      <c r="C48" s="50">
        <f t="shared" si="13"/>
        <v>80.5</v>
      </c>
      <c r="D48" s="29" t="s">
        <v>30</v>
      </c>
      <c r="E48" s="8"/>
      <c r="F48" s="43"/>
      <c r="G48" s="11"/>
      <c r="H48" s="8"/>
      <c r="I48" s="43"/>
      <c r="J48" s="29" t="s">
        <v>83</v>
      </c>
      <c r="K48" s="8"/>
      <c r="L48" s="43"/>
    </row>
    <row r="49" spans="1:12" outlineLevel="1" x14ac:dyDescent="0.15">
      <c r="A49" s="6" t="s">
        <v>108</v>
      </c>
      <c r="B49" s="7">
        <v>0.8</v>
      </c>
      <c r="C49" s="50">
        <f t="shared" si="13"/>
        <v>92</v>
      </c>
      <c r="D49" s="6" t="s">
        <v>136</v>
      </c>
      <c r="E49" s="7">
        <v>0.6</v>
      </c>
      <c r="F49" s="50">
        <f t="shared" ref="F49:F52" si="14">$B$8*E49</f>
        <v>69</v>
      </c>
      <c r="G49" s="32" t="s">
        <v>25</v>
      </c>
      <c r="H49" s="8"/>
      <c r="I49" s="43"/>
      <c r="J49" s="6" t="s">
        <v>104</v>
      </c>
      <c r="K49" s="7">
        <v>0.9</v>
      </c>
      <c r="L49" s="28">
        <f>$B$7*K49</f>
        <v>85.5</v>
      </c>
    </row>
    <row r="50" spans="1:12" outlineLevel="1" x14ac:dyDescent="0.15">
      <c r="A50" s="6" t="s">
        <v>109</v>
      </c>
      <c r="B50" s="7">
        <v>0.75</v>
      </c>
      <c r="C50" s="50">
        <f t="shared" si="13"/>
        <v>86.25</v>
      </c>
      <c r="D50" s="6" t="s">
        <v>136</v>
      </c>
      <c r="E50" s="7">
        <v>0.7</v>
      </c>
      <c r="F50" s="50">
        <f t="shared" si="14"/>
        <v>80.5</v>
      </c>
      <c r="G50" s="11" t="s">
        <v>108</v>
      </c>
      <c r="H50" s="7">
        <v>0.6</v>
      </c>
      <c r="I50" s="50">
        <f t="shared" ref="I50:I52" si="15">$B$8*H50</f>
        <v>69</v>
      </c>
      <c r="J50" s="6"/>
      <c r="K50" s="8"/>
      <c r="L50" s="43"/>
    </row>
    <row r="51" spans="1:12" outlineLevel="1" x14ac:dyDescent="0.15">
      <c r="A51" s="6"/>
      <c r="B51" s="8"/>
      <c r="C51" s="43"/>
      <c r="D51" s="6" t="s">
        <v>137</v>
      </c>
      <c r="E51" s="7">
        <v>0.75</v>
      </c>
      <c r="F51" s="50">
        <f t="shared" si="14"/>
        <v>86.25</v>
      </c>
      <c r="G51" s="11" t="s">
        <v>108</v>
      </c>
      <c r="H51" s="7">
        <v>0.7</v>
      </c>
      <c r="I51" s="50">
        <f t="shared" si="15"/>
        <v>80.5</v>
      </c>
      <c r="J51" s="29" t="s">
        <v>0</v>
      </c>
      <c r="K51" s="8"/>
      <c r="L51" s="43"/>
    </row>
    <row r="52" spans="1:12" outlineLevel="1" x14ac:dyDescent="0.15">
      <c r="A52" s="29" t="s">
        <v>26</v>
      </c>
      <c r="B52" s="8"/>
      <c r="C52" s="43"/>
      <c r="D52" s="6" t="s">
        <v>138</v>
      </c>
      <c r="E52" s="7">
        <v>0.7</v>
      </c>
      <c r="F52" s="50">
        <f t="shared" si="14"/>
        <v>80.5</v>
      </c>
      <c r="G52" s="11" t="s">
        <v>153</v>
      </c>
      <c r="H52" s="7">
        <v>0.8</v>
      </c>
      <c r="I52" s="50">
        <f t="shared" si="15"/>
        <v>92</v>
      </c>
      <c r="J52" s="6" t="s">
        <v>105</v>
      </c>
      <c r="K52" s="7">
        <v>0.6</v>
      </c>
      <c r="L52" s="42">
        <f t="shared" ref="L52:L57" si="16">$B$3*K52</f>
        <v>120</v>
      </c>
    </row>
    <row r="53" spans="1:12" outlineLevel="1" x14ac:dyDescent="0.15">
      <c r="A53" s="6" t="s">
        <v>105</v>
      </c>
      <c r="B53" s="7">
        <v>0.6</v>
      </c>
      <c r="C53" s="47">
        <f t="shared" ref="C53:C57" si="17">$B$10*B53</f>
        <v>48</v>
      </c>
      <c r="D53" s="6"/>
      <c r="E53" s="8"/>
      <c r="F53" s="43"/>
      <c r="G53" s="11"/>
      <c r="H53" s="8"/>
      <c r="I53" s="43"/>
      <c r="J53" s="6" t="s">
        <v>105</v>
      </c>
      <c r="K53" s="7">
        <v>0.7</v>
      </c>
      <c r="L53" s="42">
        <f t="shared" si="16"/>
        <v>140</v>
      </c>
    </row>
    <row r="54" spans="1:12" outlineLevel="1" x14ac:dyDescent="0.15">
      <c r="A54" s="6" t="s">
        <v>105</v>
      </c>
      <c r="B54" s="7">
        <v>0.7</v>
      </c>
      <c r="C54" s="47">
        <f t="shared" si="17"/>
        <v>56</v>
      </c>
      <c r="D54" s="29" t="s">
        <v>31</v>
      </c>
      <c r="E54" s="8"/>
      <c r="F54" s="43"/>
      <c r="G54" s="32" t="s">
        <v>86</v>
      </c>
      <c r="H54" s="8"/>
      <c r="I54" s="43"/>
      <c r="J54" s="6" t="s">
        <v>105</v>
      </c>
      <c r="K54" s="7">
        <v>0.8</v>
      </c>
      <c r="L54" s="42">
        <f t="shared" si="16"/>
        <v>160</v>
      </c>
    </row>
    <row r="55" spans="1:12" outlineLevel="1" x14ac:dyDescent="0.15">
      <c r="A55" s="6" t="s">
        <v>98</v>
      </c>
      <c r="B55" s="7">
        <v>0.75</v>
      </c>
      <c r="C55" s="47">
        <f t="shared" si="17"/>
        <v>60</v>
      </c>
      <c r="D55" s="6" t="s">
        <v>103</v>
      </c>
      <c r="E55" s="7">
        <v>0.8</v>
      </c>
      <c r="F55" s="51">
        <f>$B$9*E55</f>
        <v>160</v>
      </c>
      <c r="G55" s="11" t="s">
        <v>105</v>
      </c>
      <c r="H55" s="7">
        <v>0.8</v>
      </c>
      <c r="I55" s="46">
        <f t="shared" ref="I55:I56" si="18">$B$6*H55</f>
        <v>88</v>
      </c>
      <c r="J55" s="6" t="s">
        <v>95</v>
      </c>
      <c r="K55" s="7">
        <v>0.85</v>
      </c>
      <c r="L55" s="42">
        <f t="shared" si="16"/>
        <v>170</v>
      </c>
    </row>
    <row r="56" spans="1:12" outlineLevel="1" x14ac:dyDescent="0.15">
      <c r="A56" s="6" t="s">
        <v>105</v>
      </c>
      <c r="B56" s="7">
        <v>0.6</v>
      </c>
      <c r="C56" s="47">
        <f t="shared" si="17"/>
        <v>48</v>
      </c>
      <c r="D56" s="6" t="s">
        <v>118</v>
      </c>
      <c r="E56" s="7">
        <v>0.85</v>
      </c>
      <c r="F56" s="51">
        <f>$B$9*E56</f>
        <v>170</v>
      </c>
      <c r="G56" s="11" t="s">
        <v>118</v>
      </c>
      <c r="H56" s="7">
        <v>0.9</v>
      </c>
      <c r="I56" s="46">
        <f t="shared" si="18"/>
        <v>99</v>
      </c>
      <c r="J56" s="6" t="s">
        <v>105</v>
      </c>
      <c r="K56" s="7">
        <v>0.8</v>
      </c>
      <c r="L56" s="42">
        <f t="shared" si="16"/>
        <v>160</v>
      </c>
    </row>
    <row r="57" spans="1:12" outlineLevel="1" x14ac:dyDescent="0.15">
      <c r="A57" s="6" t="s">
        <v>110</v>
      </c>
      <c r="B57" s="7">
        <v>0.7</v>
      </c>
      <c r="C57" s="47">
        <f t="shared" si="17"/>
        <v>56</v>
      </c>
      <c r="D57" s="6"/>
      <c r="E57" s="8"/>
      <c r="F57" s="43"/>
      <c r="G57" s="11"/>
      <c r="H57" s="8"/>
      <c r="I57" s="43"/>
      <c r="J57" s="6" t="s">
        <v>113</v>
      </c>
      <c r="K57" s="7">
        <v>0.85</v>
      </c>
      <c r="L57" s="42">
        <f t="shared" si="16"/>
        <v>170</v>
      </c>
    </row>
    <row r="58" spans="1:12" outlineLevel="1" x14ac:dyDescent="0.15">
      <c r="A58" s="6"/>
      <c r="B58" s="8"/>
      <c r="C58" s="43"/>
      <c r="D58" s="29" t="s">
        <v>27</v>
      </c>
      <c r="E58" s="8"/>
      <c r="F58" s="43"/>
      <c r="G58" s="11"/>
      <c r="H58" s="8"/>
      <c r="I58" s="43"/>
      <c r="J58" s="6"/>
      <c r="K58" s="8"/>
      <c r="L58" s="43"/>
    </row>
    <row r="59" spans="1:12" outlineLevel="1" x14ac:dyDescent="0.15">
      <c r="A59" s="29" t="s">
        <v>83</v>
      </c>
      <c r="B59" s="8"/>
      <c r="C59" s="43"/>
      <c r="D59" s="6" t="s">
        <v>32</v>
      </c>
      <c r="E59" s="8"/>
      <c r="F59" s="43"/>
      <c r="G59" s="11"/>
      <c r="H59" s="8"/>
      <c r="I59" s="43"/>
      <c r="J59" s="29" t="s">
        <v>27</v>
      </c>
      <c r="K59" s="8"/>
      <c r="L59" s="43"/>
    </row>
    <row r="60" spans="1:12" outlineLevel="1" x14ac:dyDescent="0.15">
      <c r="A60" s="6" t="s">
        <v>111</v>
      </c>
      <c r="B60" s="7">
        <v>0.8</v>
      </c>
      <c r="C60" s="28">
        <f>$B$7*B60</f>
        <v>76</v>
      </c>
      <c r="D60" s="6" t="s">
        <v>33</v>
      </c>
      <c r="E60" s="8"/>
      <c r="F60" s="43"/>
      <c r="G60" s="11"/>
      <c r="H60" s="8"/>
      <c r="I60" s="43"/>
      <c r="J60" s="6" t="s">
        <v>40</v>
      </c>
      <c r="K60" s="8"/>
      <c r="L60" s="43"/>
    </row>
    <row r="61" spans="1:12" outlineLevel="1" x14ac:dyDescent="0.15">
      <c r="A61" s="6"/>
      <c r="B61" s="8"/>
      <c r="C61" s="43"/>
      <c r="D61" s="6"/>
      <c r="E61" s="8"/>
      <c r="F61" s="43"/>
      <c r="G61" s="11"/>
      <c r="H61" s="8"/>
      <c r="I61" s="43"/>
      <c r="J61" s="6" t="s">
        <v>41</v>
      </c>
      <c r="K61" s="8"/>
      <c r="L61" s="43"/>
    </row>
    <row r="62" spans="1:12" outlineLevel="1" x14ac:dyDescent="0.15">
      <c r="A62" s="29" t="s">
        <v>27</v>
      </c>
      <c r="B62" s="8"/>
      <c r="C62" s="43"/>
      <c r="D62" s="6"/>
      <c r="E62" s="8"/>
      <c r="F62" s="43"/>
      <c r="G62" s="11"/>
      <c r="H62" s="8"/>
      <c r="I62" s="43"/>
      <c r="J62" s="6"/>
      <c r="K62" s="8"/>
      <c r="L62" s="43"/>
    </row>
    <row r="63" spans="1:12" outlineLevel="1" x14ac:dyDescent="0.15">
      <c r="A63" s="6" t="s">
        <v>28</v>
      </c>
      <c r="B63" s="8"/>
      <c r="C63" s="43"/>
      <c r="D63" s="6"/>
      <c r="E63" s="8"/>
      <c r="F63" s="43"/>
      <c r="G63" s="11"/>
      <c r="H63" s="8"/>
      <c r="I63" s="43"/>
      <c r="J63" s="6"/>
      <c r="K63" s="8"/>
      <c r="L63" s="43"/>
    </row>
    <row r="64" spans="1:12" outlineLevel="1" x14ac:dyDescent="0.15">
      <c r="A64" s="6"/>
      <c r="B64" s="8"/>
      <c r="C64" s="43"/>
      <c r="D64" s="6"/>
      <c r="E64" s="8"/>
      <c r="F64" s="43"/>
      <c r="G64" s="11"/>
      <c r="H64" s="8"/>
      <c r="I64" s="43"/>
      <c r="J64" s="6"/>
      <c r="K64" s="8"/>
      <c r="L64" s="43"/>
    </row>
    <row r="65" spans="1:12" ht="12" outlineLevel="1" thickBot="1" x14ac:dyDescent="0.2">
      <c r="A65" s="9" t="s">
        <v>29</v>
      </c>
      <c r="B65" s="10"/>
      <c r="C65" s="48"/>
      <c r="D65" s="9"/>
      <c r="E65" s="10"/>
      <c r="F65" s="48"/>
      <c r="G65" s="12"/>
      <c r="H65" s="10"/>
      <c r="I65" s="48"/>
      <c r="J65" s="9"/>
      <c r="K65" s="10"/>
      <c r="L65" s="48"/>
    </row>
    <row r="66" spans="1:12" ht="12" thickBot="1" x14ac:dyDescent="0.2">
      <c r="C66" s="45"/>
      <c r="F66" s="45"/>
      <c r="I66" s="45"/>
      <c r="L66" s="45"/>
    </row>
    <row r="67" spans="1:12" s="13" customFormat="1" ht="15.75" thickBot="1" x14ac:dyDescent="0.3">
      <c r="A67" s="33" t="s">
        <v>12</v>
      </c>
      <c r="B67" s="34" t="s">
        <v>93</v>
      </c>
      <c r="C67" s="40" t="s">
        <v>94</v>
      </c>
      <c r="D67" s="33" t="s">
        <v>13</v>
      </c>
      <c r="E67" s="34" t="s">
        <v>93</v>
      </c>
      <c r="F67" s="40" t="s">
        <v>94</v>
      </c>
      <c r="G67" s="33" t="s">
        <v>14</v>
      </c>
      <c r="H67" s="34" t="s">
        <v>93</v>
      </c>
      <c r="I67" s="40" t="s">
        <v>94</v>
      </c>
      <c r="J67" s="33" t="s">
        <v>15</v>
      </c>
      <c r="K67" s="34" t="s">
        <v>93</v>
      </c>
      <c r="L67" s="40" t="s">
        <v>94</v>
      </c>
    </row>
    <row r="68" spans="1:12" outlineLevel="1" x14ac:dyDescent="0.15">
      <c r="A68" s="30" t="s">
        <v>0</v>
      </c>
      <c r="B68" s="5"/>
      <c r="C68" s="41"/>
      <c r="D68" s="30" t="s">
        <v>1</v>
      </c>
      <c r="E68" s="5"/>
      <c r="F68" s="41"/>
      <c r="G68" s="30" t="s">
        <v>0</v>
      </c>
      <c r="H68" s="5"/>
      <c r="I68" s="41"/>
      <c r="J68" s="30" t="s">
        <v>0</v>
      </c>
      <c r="K68" s="5"/>
      <c r="L68" s="41"/>
    </row>
    <row r="69" spans="1:12" outlineLevel="1" x14ac:dyDescent="0.15">
      <c r="A69" s="6" t="s">
        <v>95</v>
      </c>
      <c r="B69" s="7">
        <v>0.6</v>
      </c>
      <c r="C69" s="42">
        <f>$B$3*B69</f>
        <v>120</v>
      </c>
      <c r="D69" s="6" t="s">
        <v>95</v>
      </c>
      <c r="E69" s="7">
        <v>0.6</v>
      </c>
      <c r="F69" s="28">
        <f t="shared" ref="F69:F74" si="19">$B$7*E69</f>
        <v>57</v>
      </c>
      <c r="G69" s="6" t="s">
        <v>95</v>
      </c>
      <c r="H69" s="7">
        <v>0.6</v>
      </c>
      <c r="I69" s="42">
        <f t="shared" ref="I69:I75" si="20">$B$3*H69</f>
        <v>120</v>
      </c>
      <c r="J69" s="6" t="s">
        <v>95</v>
      </c>
      <c r="K69" s="7">
        <v>0.6</v>
      </c>
      <c r="L69" s="42">
        <f>$B$3*K69</f>
        <v>120</v>
      </c>
    </row>
    <row r="70" spans="1:12" outlineLevel="1" x14ac:dyDescent="0.15">
      <c r="A70" s="6" t="s">
        <v>112</v>
      </c>
      <c r="B70" s="7">
        <v>0.7</v>
      </c>
      <c r="C70" s="42">
        <f>$B$3*B70</f>
        <v>140</v>
      </c>
      <c r="D70" s="6" t="s">
        <v>95</v>
      </c>
      <c r="E70" s="7">
        <v>0.7</v>
      </c>
      <c r="F70" s="28">
        <f t="shared" si="19"/>
        <v>66.5</v>
      </c>
      <c r="G70" s="6" t="s">
        <v>95</v>
      </c>
      <c r="H70" s="7">
        <v>0.7</v>
      </c>
      <c r="I70" s="42">
        <f t="shared" si="20"/>
        <v>140</v>
      </c>
      <c r="J70" s="6" t="s">
        <v>95</v>
      </c>
      <c r="K70" s="7">
        <v>0.7</v>
      </c>
      <c r="L70" s="42">
        <f t="shared" ref="L70:L72" si="21">$B$3*K70</f>
        <v>140</v>
      </c>
    </row>
    <row r="71" spans="1:12" outlineLevel="1" x14ac:dyDescent="0.15">
      <c r="A71" s="6" t="s">
        <v>106</v>
      </c>
      <c r="B71" s="7">
        <v>0.8</v>
      </c>
      <c r="C71" s="42">
        <f>$B$3*B71</f>
        <v>160</v>
      </c>
      <c r="D71" s="6" t="s">
        <v>98</v>
      </c>
      <c r="E71" s="7">
        <v>0.75</v>
      </c>
      <c r="F71" s="28">
        <f t="shared" si="19"/>
        <v>71.25</v>
      </c>
      <c r="G71" s="6" t="s">
        <v>95</v>
      </c>
      <c r="H71" s="7">
        <v>0.8</v>
      </c>
      <c r="I71" s="42">
        <f t="shared" si="20"/>
        <v>160</v>
      </c>
      <c r="J71" s="6" t="s">
        <v>95</v>
      </c>
      <c r="K71" s="7">
        <v>0.8</v>
      </c>
      <c r="L71" s="42">
        <f>$B$3*K71</f>
        <v>160</v>
      </c>
    </row>
    <row r="72" spans="1:12" outlineLevel="1" x14ac:dyDescent="0.15">
      <c r="A72" s="6" t="s">
        <v>113</v>
      </c>
      <c r="B72" s="7">
        <v>0.85</v>
      </c>
      <c r="C72" s="42">
        <f>$B$3*B72</f>
        <v>170</v>
      </c>
      <c r="D72" s="6" t="s">
        <v>95</v>
      </c>
      <c r="E72" s="7">
        <v>0.6</v>
      </c>
      <c r="F72" s="28">
        <f t="shared" si="19"/>
        <v>57</v>
      </c>
      <c r="G72" s="6" t="s">
        <v>95</v>
      </c>
      <c r="H72" s="7">
        <v>0.85</v>
      </c>
      <c r="I72" s="42">
        <f t="shared" si="20"/>
        <v>170</v>
      </c>
      <c r="J72" s="6" t="s">
        <v>141</v>
      </c>
      <c r="K72" s="7">
        <v>0.9</v>
      </c>
      <c r="L72" s="42">
        <f t="shared" si="21"/>
        <v>180</v>
      </c>
    </row>
    <row r="73" spans="1:12" outlineLevel="1" x14ac:dyDescent="0.15">
      <c r="A73" s="6"/>
      <c r="B73" s="8"/>
      <c r="C73" s="43"/>
      <c r="D73" s="6" t="s">
        <v>113</v>
      </c>
      <c r="E73" s="7">
        <v>0.65</v>
      </c>
      <c r="F73" s="28">
        <f t="shared" si="19"/>
        <v>61.75</v>
      </c>
      <c r="G73" s="6" t="s">
        <v>95</v>
      </c>
      <c r="H73" s="7">
        <v>0.9</v>
      </c>
      <c r="I73" s="42">
        <f t="shared" si="20"/>
        <v>180</v>
      </c>
      <c r="J73" s="6"/>
      <c r="K73" s="8"/>
      <c r="L73" s="43"/>
    </row>
    <row r="74" spans="1:12" outlineLevel="1" x14ac:dyDescent="0.15">
      <c r="A74" s="29" t="s">
        <v>42</v>
      </c>
      <c r="B74" s="8"/>
      <c r="C74" s="43"/>
      <c r="D74" s="6" t="s">
        <v>113</v>
      </c>
      <c r="E74" s="7">
        <v>0.7</v>
      </c>
      <c r="F74" s="28">
        <f t="shared" si="19"/>
        <v>66.5</v>
      </c>
      <c r="G74" s="6" t="s">
        <v>95</v>
      </c>
      <c r="H74" s="7">
        <v>0.85</v>
      </c>
      <c r="I74" s="42">
        <f t="shared" si="20"/>
        <v>170</v>
      </c>
      <c r="J74" s="29" t="s">
        <v>1</v>
      </c>
      <c r="K74" s="8"/>
      <c r="L74" s="43"/>
    </row>
    <row r="75" spans="1:12" outlineLevel="1" x14ac:dyDescent="0.15">
      <c r="A75" s="6" t="s">
        <v>114</v>
      </c>
      <c r="B75" s="7">
        <v>0.6</v>
      </c>
      <c r="C75" s="28">
        <f t="shared" ref="C75:C80" si="22">$B$7*B75</f>
        <v>57</v>
      </c>
      <c r="D75" s="6"/>
      <c r="E75" s="8"/>
      <c r="F75" s="43"/>
      <c r="G75" s="6" t="s">
        <v>113</v>
      </c>
      <c r="H75" s="7">
        <v>0.9</v>
      </c>
      <c r="I75" s="42">
        <f t="shared" si="20"/>
        <v>180</v>
      </c>
      <c r="J75" s="6" t="s">
        <v>95</v>
      </c>
      <c r="K75" s="7">
        <v>0.6</v>
      </c>
      <c r="L75" s="28">
        <f t="shared" ref="L75:L81" si="23">$B$7*K75</f>
        <v>57</v>
      </c>
    </row>
    <row r="76" spans="1:12" outlineLevel="1" x14ac:dyDescent="0.15">
      <c r="A76" s="6" t="s">
        <v>95</v>
      </c>
      <c r="B76" s="7">
        <v>0.7</v>
      </c>
      <c r="C76" s="28">
        <f t="shared" si="22"/>
        <v>66.5</v>
      </c>
      <c r="D76" s="29" t="s">
        <v>30</v>
      </c>
      <c r="E76" s="8"/>
      <c r="F76" s="43"/>
      <c r="G76" s="6"/>
      <c r="H76" s="8"/>
      <c r="I76" s="43"/>
      <c r="J76" s="6" t="s">
        <v>95</v>
      </c>
      <c r="K76" s="7">
        <v>0.65</v>
      </c>
      <c r="L76" s="28">
        <f t="shared" si="23"/>
        <v>61.75</v>
      </c>
    </row>
    <row r="77" spans="1:12" outlineLevel="1" x14ac:dyDescent="0.15">
      <c r="A77" s="6" t="s">
        <v>95</v>
      </c>
      <c r="B77" s="7">
        <v>0.8</v>
      </c>
      <c r="C77" s="28">
        <f t="shared" si="22"/>
        <v>76</v>
      </c>
      <c r="D77" s="6" t="s">
        <v>139</v>
      </c>
      <c r="E77" s="7">
        <v>0.6</v>
      </c>
      <c r="F77" s="50">
        <f t="shared" ref="F77:F81" si="24">$B$8*E77</f>
        <v>69</v>
      </c>
      <c r="G77" s="29" t="s">
        <v>42</v>
      </c>
      <c r="H77" s="8"/>
      <c r="I77" s="43"/>
      <c r="J77" s="6" t="s">
        <v>95</v>
      </c>
      <c r="K77" s="7">
        <v>0.7</v>
      </c>
      <c r="L77" s="28">
        <f t="shared" si="23"/>
        <v>66.5</v>
      </c>
    </row>
    <row r="78" spans="1:12" outlineLevel="1" x14ac:dyDescent="0.15">
      <c r="A78" s="6" t="s">
        <v>98</v>
      </c>
      <c r="B78" s="7">
        <v>0.85</v>
      </c>
      <c r="C78" s="28">
        <f t="shared" si="22"/>
        <v>80.75</v>
      </c>
      <c r="D78" s="6" t="s">
        <v>139</v>
      </c>
      <c r="E78" s="7">
        <v>0.7</v>
      </c>
      <c r="F78" s="50">
        <f t="shared" si="24"/>
        <v>80.5</v>
      </c>
      <c r="G78" s="6" t="s">
        <v>113</v>
      </c>
      <c r="H78" s="7">
        <v>0.6</v>
      </c>
      <c r="I78" s="28">
        <f t="shared" ref="I78:I81" si="25">$B$7*H78</f>
        <v>57</v>
      </c>
      <c r="J78" s="6" t="s">
        <v>98</v>
      </c>
      <c r="K78" s="7">
        <v>0.75</v>
      </c>
      <c r="L78" s="28">
        <f t="shared" si="23"/>
        <v>71.25</v>
      </c>
    </row>
    <row r="79" spans="1:12" outlineLevel="1" x14ac:dyDescent="0.15">
      <c r="A79" s="6" t="s">
        <v>113</v>
      </c>
      <c r="B79" s="7">
        <v>0.8</v>
      </c>
      <c r="C79" s="28">
        <f t="shared" si="22"/>
        <v>76</v>
      </c>
      <c r="D79" s="6" t="s">
        <v>140</v>
      </c>
      <c r="E79" s="7">
        <v>0.75</v>
      </c>
      <c r="F79" s="50">
        <f t="shared" si="24"/>
        <v>86.25</v>
      </c>
      <c r="G79" s="6" t="s">
        <v>113</v>
      </c>
      <c r="H79" s="7">
        <v>0.7</v>
      </c>
      <c r="I79" s="28">
        <f t="shared" si="25"/>
        <v>66.5</v>
      </c>
      <c r="J79" s="6" t="s">
        <v>95</v>
      </c>
      <c r="K79" s="7">
        <v>0.6</v>
      </c>
      <c r="L79" s="28">
        <f t="shared" si="23"/>
        <v>57</v>
      </c>
    </row>
    <row r="80" spans="1:12" outlineLevel="1" x14ac:dyDescent="0.15">
      <c r="A80" s="6" t="s">
        <v>98</v>
      </c>
      <c r="B80" s="7">
        <v>0.85</v>
      </c>
      <c r="C80" s="28">
        <f t="shared" si="22"/>
        <v>80.75</v>
      </c>
      <c r="D80" s="6" t="s">
        <v>139</v>
      </c>
      <c r="E80" s="7">
        <v>0.6</v>
      </c>
      <c r="F80" s="50">
        <f t="shared" si="24"/>
        <v>69</v>
      </c>
      <c r="G80" s="6" t="s">
        <v>113</v>
      </c>
      <c r="H80" s="7">
        <v>0.8</v>
      </c>
      <c r="I80" s="28">
        <f t="shared" si="25"/>
        <v>76</v>
      </c>
      <c r="J80" s="6" t="s">
        <v>95</v>
      </c>
      <c r="K80" s="7">
        <v>0.65</v>
      </c>
      <c r="L80" s="28">
        <f t="shared" si="23"/>
        <v>61.75</v>
      </c>
    </row>
    <row r="81" spans="1:12" outlineLevel="1" x14ac:dyDescent="0.15">
      <c r="A81" s="6"/>
      <c r="B81" s="8"/>
      <c r="C81" s="43"/>
      <c r="D81" s="6" t="s">
        <v>139</v>
      </c>
      <c r="E81" s="7">
        <v>0.7</v>
      </c>
      <c r="F81" s="50">
        <f t="shared" si="24"/>
        <v>80.5</v>
      </c>
      <c r="G81" s="6" t="s">
        <v>128</v>
      </c>
      <c r="H81" s="7">
        <v>0.85</v>
      </c>
      <c r="I81" s="28">
        <f t="shared" si="25"/>
        <v>80.75</v>
      </c>
      <c r="J81" s="6" t="s">
        <v>95</v>
      </c>
      <c r="K81" s="7">
        <v>0.7</v>
      </c>
      <c r="L81" s="28">
        <f t="shared" si="23"/>
        <v>66.5</v>
      </c>
    </row>
    <row r="82" spans="1:12" outlineLevel="1" x14ac:dyDescent="0.15">
      <c r="A82" s="29" t="s">
        <v>43</v>
      </c>
      <c r="B82" s="8"/>
      <c r="C82" s="43"/>
      <c r="D82" s="6"/>
      <c r="E82" s="8"/>
      <c r="F82" s="43"/>
      <c r="G82" s="6"/>
      <c r="H82" s="8"/>
      <c r="I82" s="43"/>
      <c r="J82" s="6"/>
      <c r="K82" s="8"/>
      <c r="L82" s="43"/>
    </row>
    <row r="83" spans="1:12" outlineLevel="1" x14ac:dyDescent="0.15">
      <c r="A83" s="6" t="s">
        <v>115</v>
      </c>
      <c r="B83" s="7">
        <v>0.6</v>
      </c>
      <c r="C83" s="50">
        <f t="shared" ref="C83:C88" si="26">$B$8*B83</f>
        <v>69</v>
      </c>
      <c r="D83" s="29" t="s">
        <v>31</v>
      </c>
      <c r="E83" s="8"/>
      <c r="F83" s="43"/>
      <c r="G83" s="29" t="s">
        <v>49</v>
      </c>
      <c r="H83" s="8"/>
      <c r="I83" s="43"/>
      <c r="J83" s="29" t="s">
        <v>50</v>
      </c>
      <c r="K83" s="8"/>
      <c r="L83" s="43"/>
    </row>
    <row r="84" spans="1:12" outlineLevel="1" x14ac:dyDescent="0.15">
      <c r="A84" s="6" t="s">
        <v>115</v>
      </c>
      <c r="B84" s="7">
        <v>0.7</v>
      </c>
      <c r="C84" s="50">
        <f t="shared" si="26"/>
        <v>80.5</v>
      </c>
      <c r="D84" s="6" t="s">
        <v>103</v>
      </c>
      <c r="E84" s="7">
        <v>0.8</v>
      </c>
      <c r="F84" s="51">
        <f t="shared" ref="F84:F86" si="27">$B$9*E84</f>
        <v>160</v>
      </c>
      <c r="G84" s="6" t="s">
        <v>144</v>
      </c>
      <c r="H84" s="7">
        <v>0.6</v>
      </c>
      <c r="I84" s="50">
        <f t="shared" ref="I84:I87" si="28">$B$8*H84</f>
        <v>69</v>
      </c>
      <c r="J84" s="6" t="s">
        <v>95</v>
      </c>
      <c r="K84" s="7">
        <v>0.6</v>
      </c>
      <c r="L84" s="46">
        <f t="shared" ref="L84:L89" si="29">$B$6*K84</f>
        <v>66</v>
      </c>
    </row>
    <row r="85" spans="1:12" outlineLevel="1" x14ac:dyDescent="0.15">
      <c r="A85" s="6" t="s">
        <v>116</v>
      </c>
      <c r="B85" s="7">
        <v>0.8</v>
      </c>
      <c r="C85" s="50">
        <f t="shared" si="26"/>
        <v>92</v>
      </c>
      <c r="D85" s="6" t="s">
        <v>110</v>
      </c>
      <c r="E85" s="7">
        <v>0.9</v>
      </c>
      <c r="F85" s="51">
        <f t="shared" si="27"/>
        <v>180</v>
      </c>
      <c r="G85" s="6" t="s">
        <v>144</v>
      </c>
      <c r="H85" s="7">
        <v>0.7</v>
      </c>
      <c r="I85" s="50">
        <f t="shared" si="28"/>
        <v>80.5</v>
      </c>
      <c r="J85" s="6" t="s">
        <v>95</v>
      </c>
      <c r="K85" s="7">
        <v>0.65</v>
      </c>
      <c r="L85" s="46">
        <f t="shared" si="29"/>
        <v>71.5</v>
      </c>
    </row>
    <row r="86" spans="1:12" outlineLevel="1" x14ac:dyDescent="0.15">
      <c r="A86" s="6" t="s">
        <v>117</v>
      </c>
      <c r="B86" s="7">
        <v>0.85</v>
      </c>
      <c r="C86" s="50">
        <f t="shared" si="26"/>
        <v>97.75</v>
      </c>
      <c r="D86" s="6" t="s">
        <v>141</v>
      </c>
      <c r="E86" s="7">
        <v>1</v>
      </c>
      <c r="F86" s="51">
        <f t="shared" si="27"/>
        <v>200</v>
      </c>
      <c r="G86" s="6" t="s">
        <v>144</v>
      </c>
      <c r="H86" s="7">
        <v>0.8</v>
      </c>
      <c r="I86" s="50">
        <f t="shared" si="28"/>
        <v>92</v>
      </c>
      <c r="J86" s="6" t="s">
        <v>95</v>
      </c>
      <c r="K86" s="7">
        <v>0.7</v>
      </c>
      <c r="L86" s="46">
        <f t="shared" si="29"/>
        <v>77</v>
      </c>
    </row>
    <row r="87" spans="1:12" outlineLevel="1" x14ac:dyDescent="0.15">
      <c r="A87" s="6" t="s">
        <v>116</v>
      </c>
      <c r="B87" s="7">
        <v>0.8</v>
      </c>
      <c r="C87" s="50">
        <f t="shared" si="26"/>
        <v>92</v>
      </c>
      <c r="D87" s="6"/>
      <c r="E87" s="8"/>
      <c r="F87" s="43"/>
      <c r="G87" s="6" t="s">
        <v>154</v>
      </c>
      <c r="H87" s="7">
        <v>0.85</v>
      </c>
      <c r="I87" s="50">
        <f t="shared" si="28"/>
        <v>97.75</v>
      </c>
      <c r="J87" s="6" t="s">
        <v>98</v>
      </c>
      <c r="K87" s="7">
        <v>0.75</v>
      </c>
      <c r="L87" s="46">
        <f t="shared" si="29"/>
        <v>82.5</v>
      </c>
    </row>
    <row r="88" spans="1:12" outlineLevel="1" x14ac:dyDescent="0.15">
      <c r="A88" s="6" t="s">
        <v>117</v>
      </c>
      <c r="B88" s="7">
        <v>0.85</v>
      </c>
      <c r="C88" s="50">
        <f t="shared" si="26"/>
        <v>97.75</v>
      </c>
      <c r="D88" s="29" t="s">
        <v>34</v>
      </c>
      <c r="E88" s="8"/>
      <c r="F88" s="43"/>
      <c r="G88" s="6"/>
      <c r="H88" s="8"/>
      <c r="I88" s="43"/>
      <c r="J88" s="6" t="s">
        <v>95</v>
      </c>
      <c r="K88" s="7">
        <v>0.6</v>
      </c>
      <c r="L88" s="46">
        <f t="shared" si="29"/>
        <v>66</v>
      </c>
    </row>
    <row r="89" spans="1:12" outlineLevel="1" x14ac:dyDescent="0.15">
      <c r="A89" s="6"/>
      <c r="B89" s="8"/>
      <c r="C89" s="43"/>
      <c r="D89" s="6" t="s">
        <v>95</v>
      </c>
      <c r="E89" s="7">
        <v>0.6</v>
      </c>
      <c r="F89" s="52">
        <f t="shared" ref="F89:F95" si="30">$B$4*E89</f>
        <v>84</v>
      </c>
      <c r="G89" s="29" t="s">
        <v>45</v>
      </c>
      <c r="H89" s="8"/>
      <c r="I89" s="43"/>
      <c r="J89" s="6" t="s">
        <v>95</v>
      </c>
      <c r="K89" s="7">
        <v>0.65</v>
      </c>
      <c r="L89" s="46">
        <f t="shared" si="29"/>
        <v>71.5</v>
      </c>
    </row>
    <row r="90" spans="1:12" outlineLevel="1" x14ac:dyDescent="0.15">
      <c r="A90" s="29" t="s">
        <v>44</v>
      </c>
      <c r="B90" s="8"/>
      <c r="C90" s="43"/>
      <c r="D90" s="6" t="s">
        <v>95</v>
      </c>
      <c r="E90" s="7">
        <v>0.7</v>
      </c>
      <c r="F90" s="52">
        <f t="shared" si="30"/>
        <v>98</v>
      </c>
      <c r="G90" s="6" t="s">
        <v>95</v>
      </c>
      <c r="H90" s="7">
        <v>0.6</v>
      </c>
      <c r="I90" s="50">
        <f t="shared" ref="I90:I95" si="31">$B$8*H90</f>
        <v>69</v>
      </c>
      <c r="J90" s="6"/>
      <c r="K90" s="8"/>
      <c r="L90" s="43"/>
    </row>
    <row r="91" spans="1:12" outlineLevel="1" x14ac:dyDescent="0.15">
      <c r="A91" s="6" t="s">
        <v>103</v>
      </c>
      <c r="B91" s="7">
        <v>0.8</v>
      </c>
      <c r="C91" s="46">
        <f t="shared" ref="C91:C92" si="32">$B$6*B91</f>
        <v>88</v>
      </c>
      <c r="D91" s="6" t="s">
        <v>95</v>
      </c>
      <c r="E91" s="7">
        <v>0.8</v>
      </c>
      <c r="F91" s="52">
        <f t="shared" si="30"/>
        <v>112</v>
      </c>
      <c r="G91" s="6" t="s">
        <v>95</v>
      </c>
      <c r="H91" s="7">
        <v>0.65</v>
      </c>
      <c r="I91" s="50">
        <f t="shared" si="31"/>
        <v>74.75</v>
      </c>
      <c r="J91" s="29" t="s">
        <v>86</v>
      </c>
      <c r="K91" s="8"/>
      <c r="L91" s="43"/>
    </row>
    <row r="92" spans="1:12" outlineLevel="1" x14ac:dyDescent="0.15">
      <c r="A92" s="6" t="s">
        <v>118</v>
      </c>
      <c r="B92" s="7">
        <v>0.9</v>
      </c>
      <c r="C92" s="46">
        <f t="shared" si="32"/>
        <v>99</v>
      </c>
      <c r="D92" s="6" t="s">
        <v>113</v>
      </c>
      <c r="E92" s="7">
        <v>0.85</v>
      </c>
      <c r="F92" s="52">
        <f t="shared" si="30"/>
        <v>119</v>
      </c>
      <c r="G92" s="6" t="s">
        <v>95</v>
      </c>
      <c r="H92" s="7">
        <v>0.7</v>
      </c>
      <c r="I92" s="50">
        <f t="shared" si="31"/>
        <v>80.5</v>
      </c>
      <c r="J92" s="6" t="s">
        <v>105</v>
      </c>
      <c r="K92" s="7">
        <v>0.9</v>
      </c>
      <c r="L92" s="46">
        <f t="shared" ref="L92:L96" si="33">$B$6*K92</f>
        <v>99</v>
      </c>
    </row>
    <row r="93" spans="1:12" outlineLevel="1" x14ac:dyDescent="0.15">
      <c r="A93" s="6"/>
      <c r="B93" s="8"/>
      <c r="C93" s="43"/>
      <c r="D93" s="6" t="s">
        <v>98</v>
      </c>
      <c r="E93" s="7">
        <v>0.9</v>
      </c>
      <c r="F93" s="52">
        <f t="shared" si="30"/>
        <v>126</v>
      </c>
      <c r="G93" s="6" t="s">
        <v>155</v>
      </c>
      <c r="H93" s="7">
        <v>0.75</v>
      </c>
      <c r="I93" s="50">
        <f t="shared" si="31"/>
        <v>86.25</v>
      </c>
      <c r="J93" s="6" t="s">
        <v>95</v>
      </c>
      <c r="K93" s="7">
        <v>1</v>
      </c>
      <c r="L93" s="46">
        <f t="shared" si="33"/>
        <v>110</v>
      </c>
    </row>
    <row r="94" spans="1:12" outlineLevel="1" x14ac:dyDescent="0.15">
      <c r="A94" s="29" t="s">
        <v>45</v>
      </c>
      <c r="B94" s="8"/>
      <c r="C94" s="43"/>
      <c r="D94" s="6" t="s">
        <v>95</v>
      </c>
      <c r="E94" s="7">
        <v>0.8</v>
      </c>
      <c r="F94" s="52">
        <f t="shared" si="30"/>
        <v>112</v>
      </c>
      <c r="G94" s="6" t="s">
        <v>95</v>
      </c>
      <c r="H94" s="7">
        <v>0.65</v>
      </c>
      <c r="I94" s="50">
        <f t="shared" si="31"/>
        <v>74.75</v>
      </c>
      <c r="J94" s="6" t="s">
        <v>105</v>
      </c>
      <c r="K94" s="7">
        <v>0.9</v>
      </c>
      <c r="L94" s="46">
        <f t="shared" si="33"/>
        <v>99</v>
      </c>
    </row>
    <row r="95" spans="1:12" outlineLevel="1" x14ac:dyDescent="0.15">
      <c r="A95" s="6" t="s">
        <v>105</v>
      </c>
      <c r="B95" s="7">
        <v>0.6</v>
      </c>
      <c r="C95" s="50">
        <f t="shared" ref="C95:C99" si="34">$B$8*B95</f>
        <v>69</v>
      </c>
      <c r="D95" s="6" t="s">
        <v>98</v>
      </c>
      <c r="E95" s="7">
        <v>0.85</v>
      </c>
      <c r="F95" s="52">
        <f t="shared" si="30"/>
        <v>119</v>
      </c>
      <c r="G95" s="6" t="s">
        <v>113</v>
      </c>
      <c r="H95" s="7">
        <v>0.7</v>
      </c>
      <c r="I95" s="50">
        <f t="shared" si="31"/>
        <v>80.5</v>
      </c>
      <c r="J95" s="6" t="s">
        <v>113</v>
      </c>
      <c r="K95" s="7">
        <v>1</v>
      </c>
      <c r="L95" s="46">
        <f t="shared" si="33"/>
        <v>110</v>
      </c>
    </row>
    <row r="96" spans="1:12" outlineLevel="1" x14ac:dyDescent="0.15">
      <c r="A96" s="6" t="s">
        <v>105</v>
      </c>
      <c r="B96" s="7">
        <v>0.7</v>
      </c>
      <c r="C96" s="50">
        <f t="shared" si="34"/>
        <v>80.5</v>
      </c>
      <c r="D96" s="6"/>
      <c r="E96" s="8"/>
      <c r="F96" s="43"/>
      <c r="G96" s="6"/>
      <c r="H96" s="8"/>
      <c r="I96" s="43"/>
      <c r="J96" s="6" t="s">
        <v>105</v>
      </c>
      <c r="K96" s="7">
        <v>0.9</v>
      </c>
      <c r="L96" s="46">
        <f t="shared" si="33"/>
        <v>99</v>
      </c>
    </row>
    <row r="97" spans="1:12" outlineLevel="1" x14ac:dyDescent="0.15">
      <c r="A97" s="6" t="s">
        <v>113</v>
      </c>
      <c r="B97" s="7">
        <v>0.75</v>
      </c>
      <c r="C97" s="50">
        <f t="shared" si="34"/>
        <v>86.25</v>
      </c>
      <c r="D97" s="29" t="s">
        <v>47</v>
      </c>
      <c r="E97" s="8"/>
      <c r="F97" s="43"/>
      <c r="G97" s="29" t="s">
        <v>82</v>
      </c>
      <c r="H97" s="8"/>
      <c r="I97" s="43"/>
      <c r="J97" s="6"/>
      <c r="K97" s="8"/>
      <c r="L97" s="43"/>
    </row>
    <row r="98" spans="1:12" outlineLevel="1" x14ac:dyDescent="0.15">
      <c r="A98" s="6" t="s">
        <v>105</v>
      </c>
      <c r="B98" s="7">
        <v>0.6</v>
      </c>
      <c r="C98" s="50">
        <f t="shared" si="34"/>
        <v>69</v>
      </c>
      <c r="D98" s="6" t="s">
        <v>48</v>
      </c>
      <c r="E98" s="8"/>
      <c r="F98" s="43"/>
      <c r="G98" s="6" t="s">
        <v>103</v>
      </c>
      <c r="H98" s="7">
        <v>0.9</v>
      </c>
      <c r="I98" s="28">
        <f t="shared" ref="I98:I109" si="35">$B$7*H98</f>
        <v>85.5</v>
      </c>
      <c r="J98" s="29" t="s">
        <v>51</v>
      </c>
      <c r="K98" s="8"/>
      <c r="L98" s="43"/>
    </row>
    <row r="99" spans="1:12" outlineLevel="1" x14ac:dyDescent="0.15">
      <c r="A99" s="6" t="s">
        <v>95</v>
      </c>
      <c r="B99" s="7">
        <v>0.7</v>
      </c>
      <c r="C99" s="50">
        <f t="shared" si="34"/>
        <v>80.5</v>
      </c>
      <c r="D99" s="6" t="s">
        <v>37</v>
      </c>
      <c r="E99" s="8"/>
      <c r="F99" s="43"/>
      <c r="G99" s="6" t="s">
        <v>95</v>
      </c>
      <c r="H99" s="7">
        <v>1</v>
      </c>
      <c r="I99" s="28">
        <f t="shared" si="35"/>
        <v>95</v>
      </c>
      <c r="J99" s="6" t="s">
        <v>167</v>
      </c>
      <c r="K99" s="7">
        <v>0.6</v>
      </c>
      <c r="L99" s="52">
        <f t="shared" ref="L99:L101" si="36">$B$4*K99</f>
        <v>84</v>
      </c>
    </row>
    <row r="100" spans="1:12" outlineLevel="1" x14ac:dyDescent="0.15">
      <c r="A100" s="6"/>
      <c r="B100" s="8"/>
      <c r="C100" s="43"/>
      <c r="D100" s="6"/>
      <c r="E100" s="8"/>
      <c r="F100" s="43"/>
      <c r="G100" s="6" t="s">
        <v>113</v>
      </c>
      <c r="H100" s="7">
        <v>1.1000000000000001</v>
      </c>
      <c r="I100" s="28">
        <f t="shared" si="35"/>
        <v>104.50000000000001</v>
      </c>
      <c r="J100" s="6" t="s">
        <v>167</v>
      </c>
      <c r="K100" s="7">
        <v>0.7</v>
      </c>
      <c r="L100" s="52">
        <f t="shared" si="36"/>
        <v>98</v>
      </c>
    </row>
    <row r="101" spans="1:12" outlineLevel="1" x14ac:dyDescent="0.15">
      <c r="A101" s="29" t="s">
        <v>27</v>
      </c>
      <c r="B101" s="8"/>
      <c r="C101" s="43"/>
      <c r="D101" s="29" t="s">
        <v>27</v>
      </c>
      <c r="E101" s="8"/>
      <c r="F101" s="43"/>
      <c r="G101" s="6" t="s">
        <v>103</v>
      </c>
      <c r="H101" s="7">
        <v>0.9</v>
      </c>
      <c r="I101" s="28">
        <f t="shared" si="35"/>
        <v>85.5</v>
      </c>
      <c r="J101" s="6" t="s">
        <v>168</v>
      </c>
      <c r="K101" s="7">
        <v>0.8</v>
      </c>
      <c r="L101" s="52">
        <f t="shared" si="36"/>
        <v>112</v>
      </c>
    </row>
    <row r="102" spans="1:12" outlineLevel="1" x14ac:dyDescent="0.15">
      <c r="A102" s="6" t="s">
        <v>32</v>
      </c>
      <c r="B102" s="8"/>
      <c r="C102" s="43"/>
      <c r="D102" s="6" t="s">
        <v>40</v>
      </c>
      <c r="E102" s="8"/>
      <c r="F102" s="43"/>
      <c r="G102" s="6" t="s">
        <v>95</v>
      </c>
      <c r="H102" s="7">
        <v>1</v>
      </c>
      <c r="I102" s="28">
        <f t="shared" si="35"/>
        <v>95</v>
      </c>
      <c r="J102" s="6"/>
      <c r="K102" s="8"/>
      <c r="L102" s="43"/>
    </row>
    <row r="103" spans="1:12" outlineLevel="1" x14ac:dyDescent="0.15">
      <c r="A103" s="6" t="s">
        <v>46</v>
      </c>
      <c r="B103" s="8"/>
      <c r="C103" s="43"/>
      <c r="D103" s="6" t="s">
        <v>41</v>
      </c>
      <c r="E103" s="8"/>
      <c r="F103" s="43"/>
      <c r="G103" s="6" t="s">
        <v>113</v>
      </c>
      <c r="H103" s="7">
        <v>1.1000000000000001</v>
      </c>
      <c r="I103" s="28">
        <f t="shared" si="35"/>
        <v>104.50000000000001</v>
      </c>
      <c r="J103" s="29" t="s">
        <v>27</v>
      </c>
      <c r="K103" s="8"/>
      <c r="L103" s="43"/>
    </row>
    <row r="104" spans="1:12" outlineLevel="1" x14ac:dyDescent="0.15">
      <c r="A104" s="6"/>
      <c r="B104" s="8"/>
      <c r="C104" s="43"/>
      <c r="D104" s="6"/>
      <c r="E104" s="8"/>
      <c r="F104" s="43"/>
      <c r="G104" s="6" t="s">
        <v>103</v>
      </c>
      <c r="H104" s="7">
        <v>0.9</v>
      </c>
      <c r="I104" s="28">
        <f t="shared" si="35"/>
        <v>85.5</v>
      </c>
      <c r="J104" s="6" t="s">
        <v>52</v>
      </c>
      <c r="K104" s="8"/>
      <c r="L104" s="43"/>
    </row>
    <row r="105" spans="1:12" outlineLevel="1" x14ac:dyDescent="0.15">
      <c r="A105" s="6"/>
      <c r="B105" s="8"/>
      <c r="C105" s="43"/>
      <c r="D105" s="6"/>
      <c r="E105" s="8"/>
      <c r="F105" s="43"/>
      <c r="G105" s="6" t="s">
        <v>95</v>
      </c>
      <c r="H105" s="7">
        <v>1</v>
      </c>
      <c r="I105" s="28">
        <f t="shared" si="35"/>
        <v>95</v>
      </c>
      <c r="J105" s="6" t="s">
        <v>41</v>
      </c>
      <c r="K105" s="8"/>
      <c r="L105" s="43"/>
    </row>
    <row r="106" spans="1:12" outlineLevel="1" x14ac:dyDescent="0.15">
      <c r="A106" s="6"/>
      <c r="B106" s="8"/>
      <c r="C106" s="43"/>
      <c r="D106" s="6"/>
      <c r="E106" s="8"/>
      <c r="F106" s="43"/>
      <c r="G106" s="6" t="s">
        <v>113</v>
      </c>
      <c r="H106" s="7">
        <v>1.1000000000000001</v>
      </c>
      <c r="I106" s="28">
        <f t="shared" si="35"/>
        <v>104.50000000000001</v>
      </c>
      <c r="J106" s="6"/>
      <c r="K106" s="8"/>
      <c r="L106" s="43"/>
    </row>
    <row r="107" spans="1:12" outlineLevel="1" x14ac:dyDescent="0.15">
      <c r="A107" s="6"/>
      <c r="B107" s="8"/>
      <c r="C107" s="43"/>
      <c r="D107" s="6"/>
      <c r="E107" s="8"/>
      <c r="F107" s="43"/>
      <c r="G107" s="6" t="s">
        <v>103</v>
      </c>
      <c r="H107" s="7">
        <v>0.9</v>
      </c>
      <c r="I107" s="28">
        <f t="shared" si="35"/>
        <v>85.5</v>
      </c>
      <c r="J107" s="6"/>
      <c r="K107" s="8"/>
      <c r="L107" s="43"/>
    </row>
    <row r="108" spans="1:12" outlineLevel="1" x14ac:dyDescent="0.15">
      <c r="A108" s="6"/>
      <c r="B108" s="8"/>
      <c r="C108" s="43"/>
      <c r="D108" s="6"/>
      <c r="E108" s="8"/>
      <c r="F108" s="43"/>
      <c r="G108" s="6" t="s">
        <v>95</v>
      </c>
      <c r="H108" s="7">
        <v>1</v>
      </c>
      <c r="I108" s="28">
        <f t="shared" si="35"/>
        <v>95</v>
      </c>
      <c r="J108" s="6"/>
      <c r="K108" s="8"/>
      <c r="L108" s="43"/>
    </row>
    <row r="109" spans="1:12" ht="12" outlineLevel="1" thickBot="1" x14ac:dyDescent="0.2">
      <c r="A109" s="9"/>
      <c r="B109" s="10"/>
      <c r="C109" s="48"/>
      <c r="D109" s="9"/>
      <c r="E109" s="10"/>
      <c r="F109" s="48"/>
      <c r="G109" s="9" t="s">
        <v>113</v>
      </c>
      <c r="H109" s="36">
        <v>1.1000000000000001</v>
      </c>
      <c r="I109" s="37">
        <f t="shared" si="35"/>
        <v>104.50000000000001</v>
      </c>
      <c r="J109" s="9"/>
      <c r="K109" s="10"/>
      <c r="L109" s="48"/>
    </row>
    <row r="110" spans="1:12" ht="12" thickBot="1" x14ac:dyDescent="0.2">
      <c r="C110" s="45"/>
      <c r="F110" s="45"/>
      <c r="I110" s="45"/>
      <c r="L110" s="45"/>
    </row>
    <row r="111" spans="1:12" s="13" customFormat="1" ht="15.75" thickBot="1" x14ac:dyDescent="0.3">
      <c r="A111" s="33" t="s">
        <v>16</v>
      </c>
      <c r="B111" s="34" t="s">
        <v>93</v>
      </c>
      <c r="C111" s="40" t="s">
        <v>94</v>
      </c>
      <c r="D111" s="33" t="s">
        <v>17</v>
      </c>
      <c r="E111" s="34" t="s">
        <v>93</v>
      </c>
      <c r="F111" s="40" t="s">
        <v>94</v>
      </c>
      <c r="G111" s="33" t="s">
        <v>18</v>
      </c>
      <c r="H111" s="34" t="s">
        <v>93</v>
      </c>
      <c r="I111" s="40" t="s">
        <v>94</v>
      </c>
      <c r="J111" s="33" t="s">
        <v>19</v>
      </c>
      <c r="K111" s="34" t="s">
        <v>93</v>
      </c>
      <c r="L111" s="40" t="s">
        <v>94</v>
      </c>
    </row>
    <row r="112" spans="1:12" outlineLevel="1" x14ac:dyDescent="0.15">
      <c r="A112" s="30" t="s">
        <v>53</v>
      </c>
      <c r="B112" s="5"/>
      <c r="C112" s="41"/>
      <c r="D112" s="30" t="s">
        <v>34</v>
      </c>
      <c r="E112" s="5"/>
      <c r="F112" s="41"/>
      <c r="G112" s="30" t="s">
        <v>61</v>
      </c>
      <c r="H112" s="5"/>
      <c r="I112" s="41"/>
      <c r="J112" s="30" t="s">
        <v>0</v>
      </c>
      <c r="K112" s="5"/>
      <c r="L112" s="41"/>
    </row>
    <row r="113" spans="1:12" outlineLevel="1" x14ac:dyDescent="0.15">
      <c r="A113" s="6" t="s">
        <v>119</v>
      </c>
      <c r="B113" s="7">
        <v>0.6</v>
      </c>
      <c r="C113" s="28">
        <f t="shared" ref="C113:C115" si="37">$B$7*B113</f>
        <v>57</v>
      </c>
      <c r="D113" s="6" t="s">
        <v>95</v>
      </c>
      <c r="E113" s="7">
        <v>0.6</v>
      </c>
      <c r="F113" s="52">
        <f t="shared" ref="F113:F119" si="38">$B$4*E113</f>
        <v>84</v>
      </c>
      <c r="G113" s="6" t="s">
        <v>103</v>
      </c>
      <c r="H113" s="7">
        <v>0.6</v>
      </c>
      <c r="I113" s="42">
        <f>$B$3*H113</f>
        <v>120</v>
      </c>
      <c r="J113" s="6" t="s">
        <v>105</v>
      </c>
      <c r="K113" s="7">
        <v>0.6</v>
      </c>
      <c r="L113" s="42">
        <f>$B$3*K113</f>
        <v>120</v>
      </c>
    </row>
    <row r="114" spans="1:12" outlineLevel="1" x14ac:dyDescent="0.15">
      <c r="A114" s="6" t="s">
        <v>119</v>
      </c>
      <c r="B114" s="7">
        <v>0.7</v>
      </c>
      <c r="C114" s="28">
        <f t="shared" si="37"/>
        <v>66.5</v>
      </c>
      <c r="D114" s="6" t="s">
        <v>95</v>
      </c>
      <c r="E114" s="7">
        <v>0.7</v>
      </c>
      <c r="F114" s="52">
        <f t="shared" si="38"/>
        <v>98</v>
      </c>
      <c r="G114" s="6" t="s">
        <v>103</v>
      </c>
      <c r="H114" s="7">
        <v>0.7</v>
      </c>
      <c r="I114" s="42">
        <f>$B$3*H114</f>
        <v>140</v>
      </c>
      <c r="J114" s="6" t="s">
        <v>105</v>
      </c>
      <c r="K114" s="7">
        <v>0.7</v>
      </c>
      <c r="L114" s="42">
        <f>$B$3*K114</f>
        <v>140</v>
      </c>
    </row>
    <row r="115" spans="1:12" outlineLevel="1" x14ac:dyDescent="0.15">
      <c r="A115" s="6" t="s">
        <v>120</v>
      </c>
      <c r="B115" s="7">
        <v>0.8</v>
      </c>
      <c r="C115" s="28">
        <f t="shared" si="37"/>
        <v>76</v>
      </c>
      <c r="D115" s="6" t="s">
        <v>95</v>
      </c>
      <c r="E115" s="7">
        <v>0.8</v>
      </c>
      <c r="F115" s="52">
        <f t="shared" si="38"/>
        <v>112</v>
      </c>
      <c r="G115" s="6" t="s">
        <v>105</v>
      </c>
      <c r="H115" s="7">
        <v>0.8</v>
      </c>
      <c r="I115" s="42">
        <f>$B$3*H115</f>
        <v>160</v>
      </c>
      <c r="J115" s="6" t="s">
        <v>105</v>
      </c>
      <c r="K115" s="7">
        <v>0.8</v>
      </c>
      <c r="L115" s="42">
        <f>$B$3*K115</f>
        <v>160</v>
      </c>
    </row>
    <row r="116" spans="1:12" outlineLevel="1" x14ac:dyDescent="0.15">
      <c r="A116" s="6"/>
      <c r="B116" s="8"/>
      <c r="C116" s="43"/>
      <c r="D116" s="6" t="s">
        <v>95</v>
      </c>
      <c r="E116" s="7">
        <v>0.85</v>
      </c>
      <c r="F116" s="52">
        <f t="shared" si="38"/>
        <v>119</v>
      </c>
      <c r="G116" s="6" t="s">
        <v>105</v>
      </c>
      <c r="H116" s="7">
        <v>0.85</v>
      </c>
      <c r="I116" s="42">
        <f t="shared" ref="I116" si="39">$B$3*H116</f>
        <v>170</v>
      </c>
      <c r="J116" s="6" t="s">
        <v>104</v>
      </c>
      <c r="K116" s="7">
        <v>0.85</v>
      </c>
      <c r="L116" s="42">
        <f t="shared" ref="L116" si="40">$B$3*K116</f>
        <v>170</v>
      </c>
    </row>
    <row r="117" spans="1:12" outlineLevel="1" x14ac:dyDescent="0.15">
      <c r="A117" s="29" t="s">
        <v>54</v>
      </c>
      <c r="B117" s="8"/>
      <c r="C117" s="43"/>
      <c r="D117" s="6" t="s">
        <v>113</v>
      </c>
      <c r="E117" s="7">
        <v>0.9</v>
      </c>
      <c r="F117" s="52">
        <f t="shared" si="38"/>
        <v>126</v>
      </c>
      <c r="G117" s="6"/>
      <c r="H117" s="8"/>
      <c r="I117" s="43"/>
      <c r="J117" s="6"/>
      <c r="K117" s="8"/>
      <c r="L117" s="43"/>
    </row>
    <row r="118" spans="1:12" outlineLevel="1" x14ac:dyDescent="0.15">
      <c r="A118" s="6" t="s">
        <v>121</v>
      </c>
      <c r="B118" s="7">
        <v>0.6</v>
      </c>
      <c r="C118" s="46">
        <f t="shared" ref="C118:C120" si="41">$B$6*B118</f>
        <v>66</v>
      </c>
      <c r="D118" s="6" t="s">
        <v>95</v>
      </c>
      <c r="E118" s="7">
        <v>0.9</v>
      </c>
      <c r="F118" s="52">
        <f t="shared" si="38"/>
        <v>126</v>
      </c>
      <c r="G118" s="29" t="s">
        <v>42</v>
      </c>
      <c r="H118" s="8"/>
      <c r="I118" s="43"/>
      <c r="J118" s="29" t="s">
        <v>42</v>
      </c>
      <c r="K118" s="8"/>
      <c r="L118" s="43"/>
    </row>
    <row r="119" spans="1:12" outlineLevel="1" x14ac:dyDescent="0.15">
      <c r="A119" s="6" t="s">
        <v>121</v>
      </c>
      <c r="B119" s="7">
        <v>0.7</v>
      </c>
      <c r="C119" s="46">
        <f t="shared" si="41"/>
        <v>77</v>
      </c>
      <c r="D119" s="6" t="s">
        <v>95</v>
      </c>
      <c r="E119" s="7">
        <v>0.85</v>
      </c>
      <c r="F119" s="52">
        <f t="shared" si="38"/>
        <v>119</v>
      </c>
      <c r="G119" s="6" t="s">
        <v>113</v>
      </c>
      <c r="H119" s="7">
        <v>0.6</v>
      </c>
      <c r="I119" s="28">
        <f t="shared" ref="I119:I123" si="42">$B$7*H119</f>
        <v>57</v>
      </c>
      <c r="J119" s="6" t="s">
        <v>113</v>
      </c>
      <c r="K119" s="7">
        <v>0.6</v>
      </c>
      <c r="L119" s="28">
        <f t="shared" ref="L119:L123" si="43">$B$7*K119</f>
        <v>57</v>
      </c>
    </row>
    <row r="120" spans="1:12" outlineLevel="1" x14ac:dyDescent="0.15">
      <c r="A120" s="6" t="s">
        <v>122</v>
      </c>
      <c r="B120" s="7">
        <v>0.8</v>
      </c>
      <c r="C120" s="46">
        <f t="shared" si="41"/>
        <v>88</v>
      </c>
      <c r="D120" s="6"/>
      <c r="E120" s="8"/>
      <c r="F120" s="43"/>
      <c r="G120" s="6" t="s">
        <v>113</v>
      </c>
      <c r="H120" s="7">
        <v>0.7</v>
      </c>
      <c r="I120" s="28">
        <f t="shared" si="42"/>
        <v>66.5</v>
      </c>
      <c r="J120" s="6" t="s">
        <v>113</v>
      </c>
      <c r="K120" s="7">
        <v>0.7</v>
      </c>
      <c r="L120" s="28">
        <f t="shared" si="43"/>
        <v>66.5</v>
      </c>
    </row>
    <row r="121" spans="1:12" outlineLevel="1" x14ac:dyDescent="0.15">
      <c r="A121" s="6"/>
      <c r="B121" s="8"/>
      <c r="C121" s="43"/>
      <c r="D121" s="29" t="s">
        <v>60</v>
      </c>
      <c r="E121" s="8"/>
      <c r="F121" s="43"/>
      <c r="G121" s="6" t="s">
        <v>113</v>
      </c>
      <c r="H121" s="7">
        <v>0.8</v>
      </c>
      <c r="I121" s="28">
        <f t="shared" si="42"/>
        <v>76</v>
      </c>
      <c r="J121" s="6" t="s">
        <v>113</v>
      </c>
      <c r="K121" s="7">
        <v>0.8</v>
      </c>
      <c r="L121" s="28">
        <f t="shared" si="43"/>
        <v>76</v>
      </c>
    </row>
    <row r="122" spans="1:12" outlineLevel="1" x14ac:dyDescent="0.15">
      <c r="A122" s="29" t="s">
        <v>55</v>
      </c>
      <c r="B122" s="8"/>
      <c r="C122" s="43"/>
      <c r="D122" s="6" t="s">
        <v>142</v>
      </c>
      <c r="E122" s="7">
        <v>0.6</v>
      </c>
      <c r="F122" s="28">
        <f>$B$7*E122</f>
        <v>57</v>
      </c>
      <c r="G122" s="6" t="s">
        <v>98</v>
      </c>
      <c r="H122" s="7">
        <v>0.85</v>
      </c>
      <c r="I122" s="28">
        <f t="shared" si="42"/>
        <v>80.75</v>
      </c>
      <c r="J122" s="6" t="s">
        <v>98</v>
      </c>
      <c r="K122" s="7">
        <v>0.85</v>
      </c>
      <c r="L122" s="28">
        <f t="shared" si="43"/>
        <v>80.75</v>
      </c>
    </row>
    <row r="123" spans="1:12" outlineLevel="1" x14ac:dyDescent="0.15">
      <c r="A123" s="6" t="s">
        <v>95</v>
      </c>
      <c r="B123" s="7">
        <v>0.6</v>
      </c>
      <c r="C123" s="50">
        <f t="shared" ref="C123:C130" si="44">$B$8*B123</f>
        <v>69</v>
      </c>
      <c r="D123" s="6" t="s">
        <v>142</v>
      </c>
      <c r="E123" s="7">
        <v>0.65</v>
      </c>
      <c r="F123" s="28">
        <f t="shared" ref="F123:F130" si="45">$B$7*E123</f>
        <v>61.75</v>
      </c>
      <c r="G123" s="6" t="s">
        <v>98</v>
      </c>
      <c r="H123" s="7">
        <v>0.9</v>
      </c>
      <c r="I123" s="28">
        <f t="shared" si="42"/>
        <v>85.5</v>
      </c>
      <c r="J123" s="6" t="s">
        <v>98</v>
      </c>
      <c r="K123" s="7">
        <v>0.9</v>
      </c>
      <c r="L123" s="28">
        <f t="shared" si="43"/>
        <v>85.5</v>
      </c>
    </row>
    <row r="124" spans="1:12" outlineLevel="1" x14ac:dyDescent="0.15">
      <c r="A124" s="6" t="s">
        <v>95</v>
      </c>
      <c r="B124" s="7">
        <v>0.7</v>
      </c>
      <c r="C124" s="50">
        <f t="shared" si="44"/>
        <v>80.5</v>
      </c>
      <c r="D124" s="6" t="s">
        <v>143</v>
      </c>
      <c r="E124" s="7">
        <v>0.7</v>
      </c>
      <c r="F124" s="28">
        <f t="shared" si="45"/>
        <v>66.5</v>
      </c>
      <c r="G124" s="6"/>
      <c r="H124" s="8"/>
      <c r="I124" s="43"/>
      <c r="J124" s="6"/>
      <c r="K124" s="8"/>
      <c r="L124" s="43"/>
    </row>
    <row r="125" spans="1:12" outlineLevel="1" x14ac:dyDescent="0.15">
      <c r="A125" s="6" t="s">
        <v>113</v>
      </c>
      <c r="B125" s="7">
        <v>0.8</v>
      </c>
      <c r="C125" s="50">
        <f t="shared" si="44"/>
        <v>92</v>
      </c>
      <c r="D125" s="6" t="s">
        <v>142</v>
      </c>
      <c r="E125" s="7">
        <v>0.6</v>
      </c>
      <c r="F125" s="28">
        <f t="shared" si="45"/>
        <v>57</v>
      </c>
      <c r="G125" s="29" t="s">
        <v>43</v>
      </c>
      <c r="H125" s="8"/>
      <c r="I125" s="43"/>
      <c r="J125" s="29" t="s">
        <v>43</v>
      </c>
      <c r="K125" s="8"/>
      <c r="L125" s="43"/>
    </row>
    <row r="126" spans="1:12" outlineLevel="1" x14ac:dyDescent="0.15">
      <c r="A126" s="6" t="s">
        <v>113</v>
      </c>
      <c r="B126" s="7">
        <v>0.85</v>
      </c>
      <c r="C126" s="50">
        <f t="shared" si="44"/>
        <v>97.75</v>
      </c>
      <c r="D126" s="6" t="s">
        <v>142</v>
      </c>
      <c r="E126" s="7">
        <v>0.65</v>
      </c>
      <c r="F126" s="28">
        <f t="shared" si="45"/>
        <v>61.75</v>
      </c>
      <c r="G126" s="6" t="s">
        <v>144</v>
      </c>
      <c r="H126" s="7">
        <v>0.6</v>
      </c>
      <c r="I126" s="50">
        <f t="shared" ref="I126:I130" si="46">$B$8*H126</f>
        <v>69</v>
      </c>
      <c r="J126" s="6" t="s">
        <v>169</v>
      </c>
      <c r="K126" s="7">
        <v>0.6</v>
      </c>
      <c r="L126" s="50">
        <f t="shared" ref="L126:L130" si="47">$B$8*K126</f>
        <v>69</v>
      </c>
    </row>
    <row r="127" spans="1:12" outlineLevel="1" x14ac:dyDescent="0.15">
      <c r="A127" s="6" t="s">
        <v>98</v>
      </c>
      <c r="B127" s="7">
        <v>0.9</v>
      </c>
      <c r="C127" s="50">
        <f t="shared" si="44"/>
        <v>103.5</v>
      </c>
      <c r="D127" s="6" t="s">
        <v>143</v>
      </c>
      <c r="E127" s="7">
        <v>0.7</v>
      </c>
      <c r="F127" s="28">
        <f t="shared" si="45"/>
        <v>66.5</v>
      </c>
      <c r="G127" s="6" t="s">
        <v>144</v>
      </c>
      <c r="H127" s="7">
        <v>0.7</v>
      </c>
      <c r="I127" s="50">
        <f t="shared" si="46"/>
        <v>80.5</v>
      </c>
      <c r="J127" s="6" t="s">
        <v>169</v>
      </c>
      <c r="K127" s="7">
        <v>0.7</v>
      </c>
      <c r="L127" s="50">
        <f t="shared" si="47"/>
        <v>80.5</v>
      </c>
    </row>
    <row r="128" spans="1:12" outlineLevel="1" x14ac:dyDescent="0.15">
      <c r="A128" s="6" t="s">
        <v>123</v>
      </c>
      <c r="B128" s="7">
        <v>0.95</v>
      </c>
      <c r="C128" s="50">
        <f t="shared" si="44"/>
        <v>109.25</v>
      </c>
      <c r="D128" s="6" t="s">
        <v>142</v>
      </c>
      <c r="E128" s="7">
        <v>0.6</v>
      </c>
      <c r="F128" s="28">
        <f t="shared" si="45"/>
        <v>57</v>
      </c>
      <c r="G128" s="6" t="s">
        <v>144</v>
      </c>
      <c r="H128" s="7">
        <v>0.8</v>
      </c>
      <c r="I128" s="50">
        <f t="shared" si="46"/>
        <v>92</v>
      </c>
      <c r="J128" s="6" t="s">
        <v>169</v>
      </c>
      <c r="K128" s="7">
        <v>0.8</v>
      </c>
      <c r="L128" s="50">
        <f t="shared" si="47"/>
        <v>92</v>
      </c>
    </row>
    <row r="129" spans="1:12" outlineLevel="1" x14ac:dyDescent="0.15">
      <c r="A129" s="6" t="s">
        <v>113</v>
      </c>
      <c r="B129" s="7">
        <v>0.8</v>
      </c>
      <c r="C129" s="50">
        <f t="shared" si="44"/>
        <v>92</v>
      </c>
      <c r="D129" s="6" t="s">
        <v>142</v>
      </c>
      <c r="E129" s="7">
        <v>0.65</v>
      </c>
      <c r="F129" s="28">
        <f t="shared" si="45"/>
        <v>61.75</v>
      </c>
      <c r="G129" s="6" t="s">
        <v>117</v>
      </c>
      <c r="H129" s="7">
        <v>0.85</v>
      </c>
      <c r="I129" s="50">
        <f t="shared" si="46"/>
        <v>97.75</v>
      </c>
      <c r="J129" s="6" t="s">
        <v>170</v>
      </c>
      <c r="K129" s="7">
        <v>0.85</v>
      </c>
      <c r="L129" s="50">
        <f t="shared" si="47"/>
        <v>97.75</v>
      </c>
    </row>
    <row r="130" spans="1:12" outlineLevel="1" x14ac:dyDescent="0.15">
      <c r="A130" s="6" t="s">
        <v>113</v>
      </c>
      <c r="B130" s="7">
        <v>0.85</v>
      </c>
      <c r="C130" s="50">
        <f t="shared" si="44"/>
        <v>97.75</v>
      </c>
      <c r="D130" s="6" t="s">
        <v>143</v>
      </c>
      <c r="E130" s="7">
        <v>0.7</v>
      </c>
      <c r="F130" s="28">
        <f t="shared" si="45"/>
        <v>66.5</v>
      </c>
      <c r="G130" s="6" t="s">
        <v>117</v>
      </c>
      <c r="H130" s="7">
        <v>0.9</v>
      </c>
      <c r="I130" s="50">
        <f t="shared" si="46"/>
        <v>103.5</v>
      </c>
      <c r="J130" s="6" t="s">
        <v>170</v>
      </c>
      <c r="K130" s="7">
        <v>0.9</v>
      </c>
      <c r="L130" s="50">
        <f t="shared" si="47"/>
        <v>103.5</v>
      </c>
    </row>
    <row r="131" spans="1:12" outlineLevel="1" x14ac:dyDescent="0.15">
      <c r="A131" s="6"/>
      <c r="B131" s="8"/>
      <c r="C131" s="43"/>
      <c r="D131" s="6"/>
      <c r="E131" s="8"/>
      <c r="F131" s="43"/>
      <c r="G131" s="6"/>
      <c r="H131" s="8"/>
      <c r="I131" s="43"/>
      <c r="J131" s="6"/>
      <c r="K131" s="8"/>
      <c r="L131" s="43"/>
    </row>
    <row r="132" spans="1:12" outlineLevel="1" x14ac:dyDescent="0.15">
      <c r="A132" s="6" t="s">
        <v>56</v>
      </c>
      <c r="B132" s="8"/>
      <c r="C132" s="43"/>
      <c r="D132" s="29" t="s">
        <v>20</v>
      </c>
      <c r="E132" s="8"/>
      <c r="F132" s="43"/>
      <c r="G132" s="29" t="s">
        <v>83</v>
      </c>
      <c r="H132" s="8"/>
      <c r="I132" s="43"/>
      <c r="J132" s="29" t="s">
        <v>23</v>
      </c>
      <c r="K132" s="8"/>
      <c r="L132" s="43"/>
    </row>
    <row r="133" spans="1:12" outlineLevel="1" x14ac:dyDescent="0.15">
      <c r="A133" s="6"/>
      <c r="B133" s="8"/>
      <c r="C133" s="43"/>
      <c r="D133" s="6" t="s">
        <v>105</v>
      </c>
      <c r="E133" s="7">
        <v>0.9</v>
      </c>
      <c r="F133" s="46">
        <f t="shared" ref="F133:F137" si="48">$B$6*E133</f>
        <v>99</v>
      </c>
      <c r="G133" s="6" t="s">
        <v>118</v>
      </c>
      <c r="H133" s="7">
        <v>1</v>
      </c>
      <c r="I133" s="28">
        <f>$B$7*H133</f>
        <v>95</v>
      </c>
      <c r="J133" s="6" t="s">
        <v>105</v>
      </c>
      <c r="K133" s="7">
        <v>0.6</v>
      </c>
      <c r="L133" s="47">
        <f t="shared" ref="L133:L137" si="49">$B$10*K133</f>
        <v>48</v>
      </c>
    </row>
    <row r="134" spans="1:12" outlineLevel="1" x14ac:dyDescent="0.15">
      <c r="A134" s="29" t="s">
        <v>0</v>
      </c>
      <c r="B134" s="8"/>
      <c r="C134" s="43"/>
      <c r="D134" s="6" t="s">
        <v>95</v>
      </c>
      <c r="E134" s="7">
        <v>1</v>
      </c>
      <c r="F134" s="46">
        <f t="shared" si="48"/>
        <v>110</v>
      </c>
      <c r="G134" s="6"/>
      <c r="H134" s="8"/>
      <c r="I134" s="43"/>
      <c r="J134" s="6" t="s">
        <v>105</v>
      </c>
      <c r="K134" s="7">
        <v>0.65</v>
      </c>
      <c r="L134" s="47">
        <f t="shared" si="49"/>
        <v>52</v>
      </c>
    </row>
    <row r="135" spans="1:12" outlineLevel="1" x14ac:dyDescent="0.15">
      <c r="A135" s="6" t="s">
        <v>105</v>
      </c>
      <c r="B135" s="7">
        <v>0.6</v>
      </c>
      <c r="C135" s="42">
        <f>$B$3*B135</f>
        <v>120</v>
      </c>
      <c r="D135" s="6" t="s">
        <v>105</v>
      </c>
      <c r="E135" s="7">
        <v>0.9</v>
      </c>
      <c r="F135" s="46">
        <f t="shared" si="48"/>
        <v>99</v>
      </c>
      <c r="G135" s="29" t="s">
        <v>47</v>
      </c>
      <c r="H135" s="8"/>
      <c r="I135" s="43"/>
      <c r="J135" s="6" t="s">
        <v>105</v>
      </c>
      <c r="K135" s="7">
        <v>0.7</v>
      </c>
      <c r="L135" s="47">
        <f t="shared" si="49"/>
        <v>56</v>
      </c>
    </row>
    <row r="136" spans="1:12" outlineLevel="1" x14ac:dyDescent="0.15">
      <c r="A136" s="6" t="s">
        <v>105</v>
      </c>
      <c r="B136" s="7">
        <v>0.7</v>
      </c>
      <c r="C136" s="42">
        <f>$B$3*B136</f>
        <v>140</v>
      </c>
      <c r="D136" s="6" t="s">
        <v>113</v>
      </c>
      <c r="E136" s="7">
        <v>1</v>
      </c>
      <c r="F136" s="46">
        <f t="shared" si="48"/>
        <v>110</v>
      </c>
      <c r="G136" s="6" t="s">
        <v>62</v>
      </c>
      <c r="H136" s="8"/>
      <c r="I136" s="43"/>
      <c r="J136" s="6" t="s">
        <v>105</v>
      </c>
      <c r="K136" s="7">
        <v>0.6</v>
      </c>
      <c r="L136" s="47">
        <f t="shared" si="49"/>
        <v>48</v>
      </c>
    </row>
    <row r="137" spans="1:12" outlineLevel="1" x14ac:dyDescent="0.15">
      <c r="A137" s="6" t="s">
        <v>105</v>
      </c>
      <c r="B137" s="7">
        <v>0.8</v>
      </c>
      <c r="C137" s="42">
        <f>$B$3*B137</f>
        <v>160</v>
      </c>
      <c r="D137" s="6" t="s">
        <v>105</v>
      </c>
      <c r="E137" s="7">
        <v>0.9</v>
      </c>
      <c r="F137" s="46">
        <f t="shared" si="48"/>
        <v>99</v>
      </c>
      <c r="G137" s="6" t="s">
        <v>37</v>
      </c>
      <c r="H137" s="8"/>
      <c r="I137" s="43"/>
      <c r="J137" s="6" t="s">
        <v>95</v>
      </c>
      <c r="K137" s="7">
        <v>0.65</v>
      </c>
      <c r="L137" s="47">
        <f t="shared" si="49"/>
        <v>52</v>
      </c>
    </row>
    <row r="138" spans="1:12" outlineLevel="1" x14ac:dyDescent="0.15">
      <c r="A138" s="6" t="s">
        <v>124</v>
      </c>
      <c r="B138" s="7">
        <v>0.85</v>
      </c>
      <c r="C138" s="42">
        <f t="shared" ref="C138" si="50">$B$3*B138</f>
        <v>170</v>
      </c>
      <c r="D138" s="6"/>
      <c r="E138" s="8"/>
      <c r="F138" s="43"/>
      <c r="G138" s="6"/>
      <c r="H138" s="8"/>
      <c r="I138" s="43"/>
      <c r="J138" s="6"/>
      <c r="K138" s="8"/>
      <c r="L138" s="43"/>
    </row>
    <row r="139" spans="1:12" outlineLevel="1" x14ac:dyDescent="0.15">
      <c r="A139" s="6"/>
      <c r="B139" s="8"/>
      <c r="C139" s="43"/>
      <c r="D139" s="6"/>
      <c r="E139" s="8"/>
      <c r="F139" s="43"/>
      <c r="G139" s="29" t="s">
        <v>58</v>
      </c>
      <c r="H139" s="8"/>
      <c r="I139" s="43"/>
      <c r="J139" s="29" t="s">
        <v>83</v>
      </c>
      <c r="K139" s="8"/>
      <c r="L139" s="43"/>
    </row>
    <row r="140" spans="1:12" outlineLevel="1" x14ac:dyDescent="0.15">
      <c r="A140" s="29" t="s">
        <v>47</v>
      </c>
      <c r="B140" s="8"/>
      <c r="C140" s="43"/>
      <c r="D140" s="6"/>
      <c r="E140" s="8"/>
      <c r="F140" s="43"/>
      <c r="G140" s="6" t="s">
        <v>63</v>
      </c>
      <c r="H140" s="8"/>
      <c r="I140" s="43"/>
      <c r="J140" s="6" t="s">
        <v>105</v>
      </c>
      <c r="K140" s="7">
        <v>0.9</v>
      </c>
      <c r="L140" s="28">
        <f t="shared" ref="L140:L147" si="51">$B$7*K140</f>
        <v>85.5</v>
      </c>
    </row>
    <row r="141" spans="1:12" outlineLevel="1" x14ac:dyDescent="0.15">
      <c r="A141" s="6" t="s">
        <v>57</v>
      </c>
      <c r="B141" s="8"/>
      <c r="C141" s="43"/>
      <c r="D141" s="6"/>
      <c r="E141" s="8"/>
      <c r="F141" s="43"/>
      <c r="G141" s="6" t="s">
        <v>37</v>
      </c>
      <c r="H141" s="8"/>
      <c r="I141" s="43"/>
      <c r="J141" s="6" t="s">
        <v>95</v>
      </c>
      <c r="K141" s="7">
        <v>1</v>
      </c>
      <c r="L141" s="28">
        <f t="shared" si="51"/>
        <v>95</v>
      </c>
    </row>
    <row r="142" spans="1:12" outlineLevel="1" x14ac:dyDescent="0.15">
      <c r="A142" s="6" t="s">
        <v>37</v>
      </c>
      <c r="B142" s="8"/>
      <c r="C142" s="43"/>
      <c r="D142" s="6"/>
      <c r="E142" s="8"/>
      <c r="F142" s="43"/>
      <c r="G142" s="6"/>
      <c r="H142" s="8"/>
      <c r="I142" s="43"/>
      <c r="J142" s="6" t="s">
        <v>105</v>
      </c>
      <c r="K142" s="7">
        <v>0.9</v>
      </c>
      <c r="L142" s="28">
        <f t="shared" si="51"/>
        <v>85.5</v>
      </c>
    </row>
    <row r="143" spans="1:12" outlineLevel="1" x14ac:dyDescent="0.15">
      <c r="A143" s="6"/>
      <c r="B143" s="8"/>
      <c r="C143" s="43"/>
      <c r="D143" s="6"/>
      <c r="E143" s="8"/>
      <c r="F143" s="43"/>
      <c r="G143" s="29" t="s">
        <v>27</v>
      </c>
      <c r="H143" s="8"/>
      <c r="I143" s="43"/>
      <c r="J143" s="6" t="s">
        <v>95</v>
      </c>
      <c r="K143" s="7">
        <v>1</v>
      </c>
      <c r="L143" s="28">
        <f t="shared" si="51"/>
        <v>95</v>
      </c>
    </row>
    <row r="144" spans="1:12" outlineLevel="1" x14ac:dyDescent="0.15">
      <c r="A144" s="29" t="s">
        <v>58</v>
      </c>
      <c r="B144" s="8"/>
      <c r="C144" s="43"/>
      <c r="D144" s="6"/>
      <c r="E144" s="8"/>
      <c r="F144" s="43"/>
      <c r="G144" s="6" t="s">
        <v>52</v>
      </c>
      <c r="H144" s="8"/>
      <c r="I144" s="43"/>
      <c r="J144" s="6" t="s">
        <v>105</v>
      </c>
      <c r="K144" s="7">
        <v>0.9</v>
      </c>
      <c r="L144" s="28">
        <f t="shared" si="51"/>
        <v>85.5</v>
      </c>
    </row>
    <row r="145" spans="1:12" outlineLevel="1" x14ac:dyDescent="0.15">
      <c r="A145" s="6" t="s">
        <v>59</v>
      </c>
      <c r="B145" s="8"/>
      <c r="C145" s="43"/>
      <c r="D145" s="6"/>
      <c r="E145" s="8"/>
      <c r="F145" s="43"/>
      <c r="G145" s="6" t="s">
        <v>64</v>
      </c>
      <c r="H145" s="8"/>
      <c r="I145" s="43"/>
      <c r="J145" s="6" t="s">
        <v>95</v>
      </c>
      <c r="K145" s="7">
        <v>1</v>
      </c>
      <c r="L145" s="28">
        <f t="shared" si="51"/>
        <v>95</v>
      </c>
    </row>
    <row r="146" spans="1:12" outlineLevel="1" x14ac:dyDescent="0.15">
      <c r="A146" s="6" t="s">
        <v>37</v>
      </c>
      <c r="B146" s="8"/>
      <c r="C146" s="43"/>
      <c r="D146" s="6"/>
      <c r="E146" s="8"/>
      <c r="F146" s="43"/>
      <c r="G146" s="6"/>
      <c r="H146" s="8"/>
      <c r="I146" s="43"/>
      <c r="J146" s="6" t="s">
        <v>105</v>
      </c>
      <c r="K146" s="7">
        <v>0.9</v>
      </c>
      <c r="L146" s="28">
        <f t="shared" si="51"/>
        <v>85.5</v>
      </c>
    </row>
    <row r="147" spans="1:12" outlineLevel="1" x14ac:dyDescent="0.15">
      <c r="A147" s="6"/>
      <c r="B147" s="8"/>
      <c r="C147" s="43"/>
      <c r="D147" s="6"/>
      <c r="E147" s="8"/>
      <c r="F147" s="43"/>
      <c r="G147" s="6"/>
      <c r="H147" s="8"/>
      <c r="I147" s="43"/>
      <c r="J147" s="6" t="s">
        <v>95</v>
      </c>
      <c r="K147" s="7">
        <v>1</v>
      </c>
      <c r="L147" s="28">
        <f t="shared" si="51"/>
        <v>95</v>
      </c>
    </row>
    <row r="148" spans="1:12" outlineLevel="1" x14ac:dyDescent="0.15">
      <c r="A148" s="6"/>
      <c r="B148" s="8"/>
      <c r="C148" s="43"/>
      <c r="D148" s="6"/>
      <c r="E148" s="8"/>
      <c r="F148" s="43"/>
      <c r="G148" s="6"/>
      <c r="H148" s="8"/>
      <c r="I148" s="43"/>
      <c r="J148" s="6"/>
      <c r="K148" s="8"/>
      <c r="L148" s="43"/>
    </row>
    <row r="149" spans="1:12" outlineLevel="1" x14ac:dyDescent="0.15">
      <c r="A149" s="6"/>
      <c r="B149" s="8"/>
      <c r="C149" s="43"/>
      <c r="D149" s="6"/>
      <c r="E149" s="8"/>
      <c r="F149" s="43"/>
      <c r="G149" s="6"/>
      <c r="H149" s="8"/>
      <c r="I149" s="43"/>
      <c r="J149" s="29" t="s">
        <v>65</v>
      </c>
      <c r="K149" s="8"/>
      <c r="L149" s="43"/>
    </row>
    <row r="150" spans="1:12" outlineLevel="1" x14ac:dyDescent="0.15">
      <c r="A150" s="6"/>
      <c r="B150" s="8"/>
      <c r="C150" s="43"/>
      <c r="D150" s="6"/>
      <c r="E150" s="8"/>
      <c r="F150" s="43"/>
      <c r="G150" s="6"/>
      <c r="H150" s="8"/>
      <c r="I150" s="43"/>
      <c r="J150" s="6" t="s">
        <v>59</v>
      </c>
      <c r="K150" s="8"/>
      <c r="L150" s="43"/>
    </row>
    <row r="151" spans="1:12" ht="12" outlineLevel="1" thickBot="1" x14ac:dyDescent="0.2">
      <c r="A151" s="9"/>
      <c r="B151" s="10"/>
      <c r="C151" s="48"/>
      <c r="D151" s="9"/>
      <c r="E151" s="10"/>
      <c r="F151" s="48"/>
      <c r="G151" s="9"/>
      <c r="H151" s="10"/>
      <c r="I151" s="48"/>
      <c r="J151" s="9" t="s">
        <v>37</v>
      </c>
      <c r="K151" s="10"/>
      <c r="L151" s="48"/>
    </row>
    <row r="152" spans="1:12" ht="12" thickBot="1" x14ac:dyDescent="0.2">
      <c r="C152" s="45"/>
      <c r="F152" s="45"/>
      <c r="I152" s="45"/>
      <c r="L152" s="45"/>
    </row>
    <row r="153" spans="1:12" s="13" customFormat="1" ht="15.75" thickBot="1" x14ac:dyDescent="0.3">
      <c r="A153" s="33" t="s">
        <v>66</v>
      </c>
      <c r="B153" s="34" t="s">
        <v>93</v>
      </c>
      <c r="C153" s="40" t="s">
        <v>94</v>
      </c>
      <c r="D153" s="33" t="s">
        <v>67</v>
      </c>
      <c r="E153" s="34" t="s">
        <v>93</v>
      </c>
      <c r="F153" s="40" t="s">
        <v>94</v>
      </c>
      <c r="G153" s="33" t="s">
        <v>68</v>
      </c>
      <c r="H153" s="34" t="s">
        <v>93</v>
      </c>
      <c r="I153" s="40" t="s">
        <v>94</v>
      </c>
      <c r="J153" s="33" t="s">
        <v>69</v>
      </c>
      <c r="K153" s="34" t="s">
        <v>93</v>
      </c>
      <c r="L153" s="40" t="s">
        <v>94</v>
      </c>
    </row>
    <row r="154" spans="1:12" outlineLevel="1" x14ac:dyDescent="0.15">
      <c r="A154" s="30" t="s">
        <v>0</v>
      </c>
      <c r="B154" s="5"/>
      <c r="C154" s="41"/>
      <c r="D154" s="30" t="s">
        <v>34</v>
      </c>
      <c r="E154" s="5"/>
      <c r="F154" s="41"/>
      <c r="G154" s="30" t="s">
        <v>0</v>
      </c>
      <c r="H154" s="5"/>
      <c r="I154" s="41"/>
      <c r="J154" s="30" t="s">
        <v>0</v>
      </c>
      <c r="K154" s="5"/>
      <c r="L154" s="41"/>
    </row>
    <row r="155" spans="1:12" outlineLevel="1" x14ac:dyDescent="0.15">
      <c r="A155" s="6" t="s">
        <v>95</v>
      </c>
      <c r="B155" s="7">
        <v>0.6</v>
      </c>
      <c r="C155" s="42">
        <f>$B$3*B155</f>
        <v>120</v>
      </c>
      <c r="D155" s="6" t="s">
        <v>105</v>
      </c>
      <c r="E155" s="7">
        <v>0.6</v>
      </c>
      <c r="F155" s="52">
        <f t="shared" ref="F155:F160" si="52">$B$4*E155</f>
        <v>84</v>
      </c>
      <c r="G155" s="6" t="s">
        <v>95</v>
      </c>
      <c r="H155" s="7">
        <v>0.6</v>
      </c>
      <c r="I155" s="42">
        <f>$B$3*H155</f>
        <v>120</v>
      </c>
      <c r="J155" s="6" t="s">
        <v>105</v>
      </c>
      <c r="K155" s="7">
        <v>0.6</v>
      </c>
      <c r="L155" s="42">
        <f>$B$3*K155</f>
        <v>120</v>
      </c>
    </row>
    <row r="156" spans="1:12" outlineLevel="1" x14ac:dyDescent="0.15">
      <c r="A156" s="6" t="s">
        <v>95</v>
      </c>
      <c r="B156" s="7">
        <v>0.7</v>
      </c>
      <c r="C156" s="42">
        <f>$B$3*B156</f>
        <v>140</v>
      </c>
      <c r="D156" s="6" t="s">
        <v>105</v>
      </c>
      <c r="E156" s="7">
        <v>0.7</v>
      </c>
      <c r="F156" s="52">
        <f t="shared" si="52"/>
        <v>98</v>
      </c>
      <c r="G156" s="6" t="s">
        <v>95</v>
      </c>
      <c r="H156" s="7">
        <v>0.7</v>
      </c>
      <c r="I156" s="42">
        <f>$B$3*H156</f>
        <v>140</v>
      </c>
      <c r="J156" s="6" t="s">
        <v>105</v>
      </c>
      <c r="K156" s="7">
        <v>0.7</v>
      </c>
      <c r="L156" s="42">
        <f>$B$3*K156</f>
        <v>140</v>
      </c>
    </row>
    <row r="157" spans="1:12" outlineLevel="1" x14ac:dyDescent="0.15">
      <c r="A157" s="6" t="s">
        <v>95</v>
      </c>
      <c r="B157" s="7">
        <v>0.8</v>
      </c>
      <c r="C157" s="42">
        <f>$B$3*B157</f>
        <v>160</v>
      </c>
      <c r="D157" s="6" t="s">
        <v>105</v>
      </c>
      <c r="E157" s="7">
        <v>0.8</v>
      </c>
      <c r="F157" s="52">
        <f t="shared" si="52"/>
        <v>112</v>
      </c>
      <c r="G157" s="6" t="s">
        <v>156</v>
      </c>
      <c r="H157" s="7">
        <v>0.8</v>
      </c>
      <c r="I157" s="42">
        <f>$B$3*H157</f>
        <v>160</v>
      </c>
      <c r="J157" s="6" t="s">
        <v>110</v>
      </c>
      <c r="K157" s="7">
        <v>0.8</v>
      </c>
      <c r="L157" s="42">
        <f>$B$3*K157</f>
        <v>160</v>
      </c>
    </row>
    <row r="158" spans="1:12" outlineLevel="1" x14ac:dyDescent="0.15">
      <c r="A158" s="6" t="s">
        <v>95</v>
      </c>
      <c r="B158" s="7">
        <v>0.85</v>
      </c>
      <c r="C158" s="42">
        <f t="shared" ref="C158" si="53">$B$3*B158</f>
        <v>170</v>
      </c>
      <c r="D158" s="6" t="s">
        <v>105</v>
      </c>
      <c r="E158" s="7">
        <v>0.85</v>
      </c>
      <c r="F158" s="52">
        <f t="shared" si="52"/>
        <v>119</v>
      </c>
      <c r="G158" s="6"/>
      <c r="H158" s="8"/>
      <c r="I158" s="43"/>
      <c r="J158" s="6"/>
      <c r="K158" s="8"/>
      <c r="L158" s="43"/>
    </row>
    <row r="159" spans="1:12" outlineLevel="1" x14ac:dyDescent="0.15">
      <c r="A159" s="6"/>
      <c r="B159" s="8"/>
      <c r="C159" s="43"/>
      <c r="D159" s="6" t="s">
        <v>105</v>
      </c>
      <c r="E159" s="7">
        <v>0.8</v>
      </c>
      <c r="F159" s="52">
        <f t="shared" si="52"/>
        <v>112</v>
      </c>
      <c r="G159" s="29" t="s">
        <v>38</v>
      </c>
      <c r="H159" s="8"/>
      <c r="I159" s="43"/>
      <c r="J159" s="29" t="s">
        <v>87</v>
      </c>
      <c r="K159" s="8"/>
      <c r="L159" s="43"/>
    </row>
    <row r="160" spans="1:12" outlineLevel="1" x14ac:dyDescent="0.15">
      <c r="A160" s="29" t="s">
        <v>1</v>
      </c>
      <c r="B160" s="8"/>
      <c r="C160" s="43"/>
      <c r="D160" s="6" t="s">
        <v>105</v>
      </c>
      <c r="E160" s="7">
        <v>0.85</v>
      </c>
      <c r="F160" s="52">
        <f t="shared" si="52"/>
        <v>119</v>
      </c>
      <c r="G160" s="6" t="s">
        <v>157</v>
      </c>
      <c r="H160" s="7">
        <v>0.6</v>
      </c>
      <c r="I160" s="49">
        <f t="shared" ref="I160:I163" si="54">$B$5*H160</f>
        <v>54</v>
      </c>
      <c r="J160" s="6" t="s">
        <v>105</v>
      </c>
      <c r="K160" s="7">
        <v>0.9</v>
      </c>
      <c r="L160" s="28">
        <f t="shared" ref="L160:L161" si="55">$B$7*K160</f>
        <v>85.5</v>
      </c>
    </row>
    <row r="161" spans="1:12" outlineLevel="1" x14ac:dyDescent="0.15">
      <c r="A161" s="6" t="s">
        <v>95</v>
      </c>
      <c r="B161" s="7">
        <v>0.6</v>
      </c>
      <c r="C161" s="28">
        <f t="shared" ref="C161:C162" si="56">$B$7*B161</f>
        <v>57</v>
      </c>
      <c r="D161" s="6"/>
      <c r="E161" s="8"/>
      <c r="F161" s="43"/>
      <c r="G161" s="6" t="s">
        <v>158</v>
      </c>
      <c r="H161" s="7">
        <v>0.7</v>
      </c>
      <c r="I161" s="49">
        <f t="shared" si="54"/>
        <v>62.999999999999993</v>
      </c>
      <c r="J161" s="6" t="s">
        <v>104</v>
      </c>
      <c r="K161" s="7">
        <v>1</v>
      </c>
      <c r="L161" s="28">
        <f t="shared" si="55"/>
        <v>95</v>
      </c>
    </row>
    <row r="162" spans="1:12" outlineLevel="1" x14ac:dyDescent="0.15">
      <c r="A162" s="6" t="s">
        <v>125</v>
      </c>
      <c r="B162" s="7">
        <v>0.7</v>
      </c>
      <c r="C162" s="28">
        <f t="shared" si="56"/>
        <v>66.5</v>
      </c>
      <c r="D162" s="29" t="s">
        <v>42</v>
      </c>
      <c r="E162" s="8"/>
      <c r="F162" s="43"/>
      <c r="G162" s="6" t="s">
        <v>157</v>
      </c>
      <c r="H162" s="7">
        <v>0.6</v>
      </c>
      <c r="I162" s="49">
        <f t="shared" si="54"/>
        <v>54</v>
      </c>
      <c r="J162" s="6"/>
      <c r="K162" s="8"/>
      <c r="L162" s="43"/>
    </row>
    <row r="163" spans="1:12" outlineLevel="1" x14ac:dyDescent="0.15">
      <c r="A163" s="6"/>
      <c r="B163" s="8"/>
      <c r="C163" s="43"/>
      <c r="D163" s="6" t="s">
        <v>113</v>
      </c>
      <c r="E163" s="7">
        <v>0.6</v>
      </c>
      <c r="F163" s="28">
        <f t="shared" ref="F163:F167" si="57">$B$7*E163</f>
        <v>57</v>
      </c>
      <c r="G163" s="6" t="s">
        <v>158</v>
      </c>
      <c r="H163" s="7">
        <v>0.7</v>
      </c>
      <c r="I163" s="49">
        <f t="shared" si="54"/>
        <v>62.999999999999993</v>
      </c>
      <c r="J163" s="29" t="s">
        <v>88</v>
      </c>
      <c r="K163" s="8"/>
      <c r="L163" s="43"/>
    </row>
    <row r="164" spans="1:12" outlineLevel="1" x14ac:dyDescent="0.15">
      <c r="A164" s="29" t="s">
        <v>70</v>
      </c>
      <c r="B164" s="8"/>
      <c r="C164" s="43"/>
      <c r="D164" s="6" t="s">
        <v>113</v>
      </c>
      <c r="E164" s="7">
        <v>0.7</v>
      </c>
      <c r="F164" s="28">
        <f t="shared" si="57"/>
        <v>66.5</v>
      </c>
      <c r="G164" s="6"/>
      <c r="H164" s="8"/>
      <c r="I164" s="43"/>
      <c r="J164" s="6" t="s">
        <v>105</v>
      </c>
      <c r="K164" s="7">
        <v>0.8</v>
      </c>
      <c r="L164" s="46">
        <f t="shared" ref="L164:L169" si="58">$B$6*K164</f>
        <v>88</v>
      </c>
    </row>
    <row r="165" spans="1:12" outlineLevel="1" x14ac:dyDescent="0.15">
      <c r="A165" s="6" t="s">
        <v>126</v>
      </c>
      <c r="B165" s="7">
        <v>0.6</v>
      </c>
      <c r="C165" s="50">
        <f t="shared" ref="C165:C166" si="59">$B$8*B165</f>
        <v>69</v>
      </c>
      <c r="D165" s="6" t="s">
        <v>113</v>
      </c>
      <c r="E165" s="7">
        <v>0.8</v>
      </c>
      <c r="F165" s="28">
        <f t="shared" si="57"/>
        <v>76</v>
      </c>
      <c r="G165" s="29" t="s">
        <v>73</v>
      </c>
      <c r="H165" s="8"/>
      <c r="I165" s="43"/>
      <c r="J165" s="6" t="s">
        <v>95</v>
      </c>
      <c r="K165" s="7">
        <v>0.9</v>
      </c>
      <c r="L165" s="46">
        <f t="shared" si="58"/>
        <v>99</v>
      </c>
    </row>
    <row r="166" spans="1:12" outlineLevel="1" x14ac:dyDescent="0.15">
      <c r="A166" s="6" t="s">
        <v>127</v>
      </c>
      <c r="B166" s="7">
        <v>0.7</v>
      </c>
      <c r="C166" s="50">
        <f t="shared" si="59"/>
        <v>80.5</v>
      </c>
      <c r="D166" s="6" t="s">
        <v>98</v>
      </c>
      <c r="E166" s="7">
        <v>0.85</v>
      </c>
      <c r="F166" s="28">
        <f t="shared" si="57"/>
        <v>80.75</v>
      </c>
      <c r="G166" s="6" t="s">
        <v>159</v>
      </c>
      <c r="H166" s="7">
        <v>0.6</v>
      </c>
      <c r="I166" s="50">
        <f t="shared" ref="I166:I169" si="60">$B$8*H166</f>
        <v>69</v>
      </c>
      <c r="J166" s="6" t="s">
        <v>105</v>
      </c>
      <c r="K166" s="7">
        <v>0.8</v>
      </c>
      <c r="L166" s="46">
        <f t="shared" si="58"/>
        <v>88</v>
      </c>
    </row>
    <row r="167" spans="1:12" outlineLevel="1" x14ac:dyDescent="0.15">
      <c r="A167" s="6"/>
      <c r="B167" s="8"/>
      <c r="C167" s="43"/>
      <c r="D167" s="6" t="s">
        <v>124</v>
      </c>
      <c r="E167" s="7">
        <v>0.8</v>
      </c>
      <c r="F167" s="28">
        <f t="shared" si="57"/>
        <v>76</v>
      </c>
      <c r="G167" s="6" t="s">
        <v>160</v>
      </c>
      <c r="H167" s="7">
        <v>0.7</v>
      </c>
      <c r="I167" s="50">
        <f t="shared" si="60"/>
        <v>80.5</v>
      </c>
      <c r="J167" s="6" t="s">
        <v>95</v>
      </c>
      <c r="K167" s="7">
        <v>0.9</v>
      </c>
      <c r="L167" s="46">
        <f t="shared" si="58"/>
        <v>99</v>
      </c>
    </row>
    <row r="168" spans="1:12" outlineLevel="1" x14ac:dyDescent="0.15">
      <c r="A168" s="29" t="s">
        <v>89</v>
      </c>
      <c r="B168" s="8"/>
      <c r="C168" s="43"/>
      <c r="D168" s="6"/>
      <c r="E168" s="8"/>
      <c r="F168" s="43"/>
      <c r="G168" s="6" t="s">
        <v>159</v>
      </c>
      <c r="H168" s="7">
        <v>0.6</v>
      </c>
      <c r="I168" s="50">
        <f t="shared" si="60"/>
        <v>69</v>
      </c>
      <c r="J168" s="6" t="s">
        <v>105</v>
      </c>
      <c r="K168" s="7">
        <v>0.8</v>
      </c>
      <c r="L168" s="46">
        <f t="shared" si="58"/>
        <v>88</v>
      </c>
    </row>
    <row r="169" spans="1:12" outlineLevel="1" x14ac:dyDescent="0.15">
      <c r="A169" s="6" t="s">
        <v>128</v>
      </c>
      <c r="B169" s="7">
        <v>0.9</v>
      </c>
      <c r="C169" s="46">
        <f>$B$6*B169</f>
        <v>99</v>
      </c>
      <c r="D169" s="29" t="s">
        <v>43</v>
      </c>
      <c r="E169" s="8"/>
      <c r="F169" s="43"/>
      <c r="G169" s="6" t="s">
        <v>160</v>
      </c>
      <c r="H169" s="7">
        <v>0.7</v>
      </c>
      <c r="I169" s="50">
        <f t="shared" si="60"/>
        <v>80.5</v>
      </c>
      <c r="J169" s="6" t="s">
        <v>95</v>
      </c>
      <c r="K169" s="7">
        <v>0.9</v>
      </c>
      <c r="L169" s="46">
        <f t="shared" si="58"/>
        <v>99</v>
      </c>
    </row>
    <row r="170" spans="1:12" outlineLevel="1" x14ac:dyDescent="0.15">
      <c r="A170" s="6"/>
      <c r="B170" s="8"/>
      <c r="C170" s="43"/>
      <c r="D170" s="6" t="s">
        <v>144</v>
      </c>
      <c r="E170" s="7">
        <v>0.6</v>
      </c>
      <c r="F170" s="50">
        <f t="shared" ref="F170:F174" si="61">$B$8*E170</f>
        <v>69</v>
      </c>
      <c r="G170" s="6"/>
      <c r="H170" s="8"/>
      <c r="I170" s="43"/>
      <c r="J170" s="6"/>
      <c r="K170" s="8"/>
      <c r="L170" s="43"/>
    </row>
    <row r="171" spans="1:12" outlineLevel="1" x14ac:dyDescent="0.15">
      <c r="A171" s="29" t="s">
        <v>27</v>
      </c>
      <c r="B171" s="8"/>
      <c r="C171" s="43"/>
      <c r="D171" s="6" t="s">
        <v>144</v>
      </c>
      <c r="E171" s="7">
        <v>0.7</v>
      </c>
      <c r="F171" s="50">
        <f t="shared" si="61"/>
        <v>80.5</v>
      </c>
      <c r="G171" s="6"/>
      <c r="H171" s="8"/>
      <c r="I171" s="43"/>
      <c r="J171" s="29" t="s">
        <v>47</v>
      </c>
      <c r="K171" s="8"/>
      <c r="L171" s="43"/>
    </row>
    <row r="172" spans="1:12" outlineLevel="1" x14ac:dyDescent="0.15">
      <c r="A172" s="6" t="s">
        <v>71</v>
      </c>
      <c r="B172" s="8"/>
      <c r="C172" s="43"/>
      <c r="D172" s="6" t="s">
        <v>144</v>
      </c>
      <c r="E172" s="7">
        <v>0.8</v>
      </c>
      <c r="F172" s="50">
        <f t="shared" si="61"/>
        <v>92</v>
      </c>
      <c r="G172" s="6"/>
      <c r="H172" s="8"/>
      <c r="I172" s="43"/>
      <c r="J172" s="6" t="s">
        <v>74</v>
      </c>
      <c r="K172" s="8"/>
      <c r="L172" s="43"/>
    </row>
    <row r="173" spans="1:12" outlineLevel="1" x14ac:dyDescent="0.15">
      <c r="A173" s="6" t="s">
        <v>41</v>
      </c>
      <c r="B173" s="8"/>
      <c r="C173" s="43"/>
      <c r="D173" s="6" t="s">
        <v>144</v>
      </c>
      <c r="E173" s="7">
        <v>0.85</v>
      </c>
      <c r="F173" s="50">
        <f t="shared" si="61"/>
        <v>97.75</v>
      </c>
      <c r="G173" s="6"/>
      <c r="H173" s="8"/>
      <c r="I173" s="43"/>
      <c r="J173" s="6" t="s">
        <v>75</v>
      </c>
      <c r="K173" s="8"/>
      <c r="L173" s="43"/>
    </row>
    <row r="174" spans="1:12" outlineLevel="1" x14ac:dyDescent="0.15">
      <c r="A174" s="6"/>
      <c r="B174" s="8"/>
      <c r="C174" s="43"/>
      <c r="D174" s="6" t="s">
        <v>145</v>
      </c>
      <c r="E174" s="7">
        <v>0.8</v>
      </c>
      <c r="F174" s="50">
        <f t="shared" si="61"/>
        <v>92</v>
      </c>
      <c r="G174" s="6"/>
      <c r="H174" s="8"/>
      <c r="I174" s="43"/>
      <c r="J174" s="6"/>
      <c r="K174" s="8"/>
      <c r="L174" s="43"/>
    </row>
    <row r="175" spans="1:12" outlineLevel="1" x14ac:dyDescent="0.15">
      <c r="A175" s="6"/>
      <c r="B175" s="8"/>
      <c r="C175" s="43"/>
      <c r="D175" s="6"/>
      <c r="E175" s="8"/>
      <c r="F175" s="43"/>
      <c r="G175" s="6"/>
      <c r="H175" s="8"/>
      <c r="I175" s="43"/>
      <c r="J175" s="6"/>
      <c r="K175" s="8"/>
      <c r="L175" s="43"/>
    </row>
    <row r="176" spans="1:12" outlineLevel="1" x14ac:dyDescent="0.15">
      <c r="A176" s="6"/>
      <c r="B176" s="8"/>
      <c r="C176" s="43"/>
      <c r="D176" s="29" t="s">
        <v>90</v>
      </c>
      <c r="E176" s="8"/>
      <c r="F176" s="43"/>
      <c r="G176" s="6"/>
      <c r="H176" s="8"/>
      <c r="I176" s="43"/>
      <c r="J176" s="6"/>
      <c r="K176" s="8"/>
      <c r="L176" s="43"/>
    </row>
    <row r="177" spans="1:12" outlineLevel="1" x14ac:dyDescent="0.15">
      <c r="A177" s="6"/>
      <c r="B177" s="8"/>
      <c r="C177" s="43"/>
      <c r="D177" s="6" t="s">
        <v>105</v>
      </c>
      <c r="E177" s="7">
        <v>0.8</v>
      </c>
      <c r="F177" s="28">
        <f t="shared" ref="F177:F182" si="62">$B$7*E177</f>
        <v>76</v>
      </c>
      <c r="G177" s="6"/>
      <c r="H177" s="8"/>
      <c r="I177" s="43"/>
      <c r="J177" s="6"/>
      <c r="K177" s="8"/>
      <c r="L177" s="43"/>
    </row>
    <row r="178" spans="1:12" outlineLevel="1" x14ac:dyDescent="0.15">
      <c r="A178" s="6"/>
      <c r="B178" s="8"/>
      <c r="C178" s="43"/>
      <c r="D178" s="6" t="s">
        <v>95</v>
      </c>
      <c r="E178" s="7">
        <v>0.9</v>
      </c>
      <c r="F178" s="28">
        <f t="shared" si="62"/>
        <v>85.5</v>
      </c>
      <c r="G178" s="6"/>
      <c r="H178" s="8"/>
      <c r="I178" s="43"/>
      <c r="J178" s="6"/>
      <c r="K178" s="8"/>
      <c r="L178" s="43"/>
    </row>
    <row r="179" spans="1:12" outlineLevel="1" x14ac:dyDescent="0.15">
      <c r="A179" s="6"/>
      <c r="B179" s="8"/>
      <c r="C179" s="43"/>
      <c r="D179" s="6" t="s">
        <v>105</v>
      </c>
      <c r="E179" s="7">
        <v>0.8</v>
      </c>
      <c r="F179" s="28">
        <f t="shared" si="62"/>
        <v>76</v>
      </c>
      <c r="G179" s="6"/>
      <c r="H179" s="8"/>
      <c r="I179" s="43"/>
      <c r="J179" s="6"/>
      <c r="K179" s="8"/>
      <c r="L179" s="43"/>
    </row>
    <row r="180" spans="1:12" outlineLevel="1" x14ac:dyDescent="0.15">
      <c r="A180" s="6"/>
      <c r="B180" s="8"/>
      <c r="C180" s="43"/>
      <c r="D180" s="6" t="s">
        <v>95</v>
      </c>
      <c r="E180" s="7">
        <v>0.9</v>
      </c>
      <c r="F180" s="28">
        <f t="shared" si="62"/>
        <v>85.5</v>
      </c>
      <c r="G180" s="6"/>
      <c r="H180" s="8"/>
      <c r="I180" s="43"/>
      <c r="J180" s="6"/>
      <c r="K180" s="8"/>
      <c r="L180" s="43"/>
    </row>
    <row r="181" spans="1:12" outlineLevel="1" x14ac:dyDescent="0.15">
      <c r="A181" s="6"/>
      <c r="B181" s="8"/>
      <c r="C181" s="43"/>
      <c r="D181" s="6" t="s">
        <v>105</v>
      </c>
      <c r="E181" s="7">
        <v>0.8</v>
      </c>
      <c r="F181" s="28">
        <f t="shared" si="62"/>
        <v>76</v>
      </c>
      <c r="G181" s="6"/>
      <c r="H181" s="8"/>
      <c r="I181" s="43"/>
      <c r="J181" s="6"/>
      <c r="K181" s="8"/>
      <c r="L181" s="43"/>
    </row>
    <row r="182" spans="1:12" outlineLevel="1" x14ac:dyDescent="0.15">
      <c r="A182" s="6"/>
      <c r="B182" s="8"/>
      <c r="C182" s="43"/>
      <c r="D182" s="6" t="s">
        <v>95</v>
      </c>
      <c r="E182" s="7">
        <v>0.9</v>
      </c>
      <c r="F182" s="28">
        <f t="shared" si="62"/>
        <v>85.5</v>
      </c>
      <c r="G182" s="6"/>
      <c r="H182" s="8"/>
      <c r="I182" s="43"/>
      <c r="J182" s="6"/>
      <c r="K182" s="8"/>
      <c r="L182" s="43"/>
    </row>
    <row r="183" spans="1:12" outlineLevel="1" x14ac:dyDescent="0.15">
      <c r="A183" s="6"/>
      <c r="B183" s="8"/>
      <c r="C183" s="43"/>
      <c r="D183" s="6"/>
      <c r="E183" s="8"/>
      <c r="F183" s="43"/>
      <c r="G183" s="6"/>
      <c r="H183" s="8"/>
      <c r="I183" s="43"/>
      <c r="J183" s="6"/>
      <c r="K183" s="8"/>
      <c r="L183" s="43"/>
    </row>
    <row r="184" spans="1:12" outlineLevel="1" x14ac:dyDescent="0.15">
      <c r="A184" s="6"/>
      <c r="B184" s="8"/>
      <c r="C184" s="43"/>
      <c r="D184" s="29" t="s">
        <v>45</v>
      </c>
      <c r="E184" s="8"/>
      <c r="F184" s="43"/>
      <c r="G184" s="6"/>
      <c r="H184" s="8"/>
      <c r="I184" s="43"/>
      <c r="J184" s="6"/>
      <c r="K184" s="8"/>
      <c r="L184" s="43"/>
    </row>
    <row r="185" spans="1:12" outlineLevel="1" x14ac:dyDescent="0.15">
      <c r="A185" s="6"/>
      <c r="B185" s="8"/>
      <c r="C185" s="43"/>
      <c r="D185" s="6" t="s">
        <v>105</v>
      </c>
      <c r="E185" s="7">
        <v>0.6</v>
      </c>
      <c r="F185" s="47">
        <f t="shared" ref="F185:F189" si="63">$B$10*E185</f>
        <v>48</v>
      </c>
      <c r="G185" s="6"/>
      <c r="H185" s="8"/>
      <c r="I185" s="43"/>
      <c r="J185" s="6"/>
      <c r="K185" s="8"/>
      <c r="L185" s="43"/>
    </row>
    <row r="186" spans="1:12" outlineLevel="1" x14ac:dyDescent="0.15">
      <c r="A186" s="6"/>
      <c r="B186" s="8"/>
      <c r="C186" s="43"/>
      <c r="D186" s="6" t="s">
        <v>105</v>
      </c>
      <c r="E186" s="7">
        <v>0.7</v>
      </c>
      <c r="F186" s="47">
        <f t="shared" si="63"/>
        <v>56</v>
      </c>
      <c r="G186" s="6"/>
      <c r="H186" s="8"/>
      <c r="I186" s="43"/>
      <c r="J186" s="6"/>
      <c r="K186" s="8"/>
      <c r="L186" s="43"/>
    </row>
    <row r="187" spans="1:12" outlineLevel="1" x14ac:dyDescent="0.15">
      <c r="A187" s="6"/>
      <c r="B187" s="8"/>
      <c r="C187" s="43"/>
      <c r="D187" s="6" t="s">
        <v>98</v>
      </c>
      <c r="E187" s="7">
        <v>0.75</v>
      </c>
      <c r="F187" s="47">
        <f t="shared" si="63"/>
        <v>60</v>
      </c>
      <c r="G187" s="6"/>
      <c r="H187" s="8"/>
      <c r="I187" s="43"/>
      <c r="J187" s="6"/>
      <c r="K187" s="8"/>
      <c r="L187" s="43"/>
    </row>
    <row r="188" spans="1:12" outlineLevel="1" x14ac:dyDescent="0.15">
      <c r="A188" s="6"/>
      <c r="B188" s="8"/>
      <c r="C188" s="43"/>
      <c r="D188" s="6" t="s">
        <v>105</v>
      </c>
      <c r="E188" s="7">
        <v>0.6</v>
      </c>
      <c r="F188" s="47">
        <f t="shared" si="63"/>
        <v>48</v>
      </c>
      <c r="G188" s="6"/>
      <c r="H188" s="8"/>
      <c r="I188" s="43"/>
      <c r="J188" s="6"/>
      <c r="K188" s="8"/>
      <c r="L188" s="43"/>
    </row>
    <row r="189" spans="1:12" outlineLevel="1" x14ac:dyDescent="0.15">
      <c r="A189" s="6"/>
      <c r="B189" s="8"/>
      <c r="C189" s="43"/>
      <c r="D189" s="6" t="s">
        <v>95</v>
      </c>
      <c r="E189" s="7">
        <v>0.7</v>
      </c>
      <c r="F189" s="47">
        <f t="shared" si="63"/>
        <v>56</v>
      </c>
      <c r="G189" s="6"/>
      <c r="H189" s="8"/>
      <c r="I189" s="43"/>
      <c r="J189" s="6"/>
      <c r="K189" s="8"/>
      <c r="L189" s="43"/>
    </row>
    <row r="190" spans="1:12" outlineLevel="1" x14ac:dyDescent="0.15">
      <c r="A190" s="6"/>
      <c r="B190" s="8"/>
      <c r="C190" s="43"/>
      <c r="D190" s="6"/>
      <c r="E190" s="8"/>
      <c r="F190" s="43"/>
      <c r="G190" s="6"/>
      <c r="H190" s="8"/>
      <c r="I190" s="43"/>
      <c r="J190" s="6"/>
      <c r="K190" s="8"/>
      <c r="L190" s="43"/>
    </row>
    <row r="191" spans="1:12" outlineLevel="1" x14ac:dyDescent="0.15">
      <c r="A191" s="6"/>
      <c r="B191" s="8"/>
      <c r="C191" s="43"/>
      <c r="D191" s="29" t="s">
        <v>47</v>
      </c>
      <c r="E191" s="8"/>
      <c r="F191" s="43"/>
      <c r="G191" s="6"/>
      <c r="H191" s="8"/>
      <c r="I191" s="43"/>
      <c r="J191" s="6"/>
      <c r="K191" s="8"/>
      <c r="L191" s="43"/>
    </row>
    <row r="192" spans="1:12" outlineLevel="1" x14ac:dyDescent="0.15">
      <c r="A192" s="6"/>
      <c r="B192" s="8"/>
      <c r="C192" s="43"/>
      <c r="D192" s="6" t="s">
        <v>72</v>
      </c>
      <c r="E192" s="8"/>
      <c r="F192" s="43"/>
      <c r="G192" s="6"/>
      <c r="H192" s="8"/>
      <c r="I192" s="43"/>
      <c r="J192" s="6"/>
      <c r="K192" s="8"/>
      <c r="L192" s="43"/>
    </row>
    <row r="193" spans="1:12" ht="12" outlineLevel="1" thickBot="1" x14ac:dyDescent="0.2">
      <c r="A193" s="9"/>
      <c r="B193" s="10"/>
      <c r="C193" s="48"/>
      <c r="D193" s="9" t="s">
        <v>37</v>
      </c>
      <c r="E193" s="10"/>
      <c r="F193" s="48"/>
      <c r="G193" s="9"/>
      <c r="H193" s="10"/>
      <c r="I193" s="48"/>
      <c r="J193" s="9"/>
      <c r="K193" s="10"/>
      <c r="L193" s="48"/>
    </row>
    <row r="194" spans="1:12" ht="12" thickBot="1" x14ac:dyDescent="0.2">
      <c r="C194" s="45"/>
      <c r="F194" s="45"/>
      <c r="I194" s="45"/>
      <c r="L194" s="45"/>
    </row>
    <row r="195" spans="1:12" s="13" customFormat="1" ht="15.75" thickBot="1" x14ac:dyDescent="0.3">
      <c r="A195" s="33" t="s">
        <v>76</v>
      </c>
      <c r="B195" s="34" t="s">
        <v>93</v>
      </c>
      <c r="C195" s="40" t="s">
        <v>94</v>
      </c>
      <c r="D195" s="33" t="s">
        <v>77</v>
      </c>
      <c r="E195" s="34" t="s">
        <v>93</v>
      </c>
      <c r="F195" s="40" t="s">
        <v>94</v>
      </c>
      <c r="G195" s="33" t="s">
        <v>78</v>
      </c>
      <c r="H195" s="34" t="s">
        <v>93</v>
      </c>
      <c r="I195" s="40" t="s">
        <v>94</v>
      </c>
      <c r="J195" s="33" t="s">
        <v>79</v>
      </c>
      <c r="K195" s="34" t="s">
        <v>93</v>
      </c>
      <c r="L195" s="40" t="s">
        <v>94</v>
      </c>
    </row>
    <row r="196" spans="1:12" outlineLevel="1" x14ac:dyDescent="0.15">
      <c r="A196" s="30" t="s">
        <v>0</v>
      </c>
      <c r="B196" s="5"/>
      <c r="C196" s="41"/>
      <c r="D196" s="30" t="s">
        <v>0</v>
      </c>
      <c r="E196" s="5"/>
      <c r="F196" s="41"/>
      <c r="G196" s="30" t="s">
        <v>34</v>
      </c>
      <c r="H196" s="5"/>
      <c r="I196" s="41"/>
      <c r="J196" s="30" t="s">
        <v>0</v>
      </c>
      <c r="K196" s="5"/>
      <c r="L196" s="41"/>
    </row>
    <row r="197" spans="1:12" outlineLevel="1" x14ac:dyDescent="0.15">
      <c r="A197" s="6" t="s">
        <v>103</v>
      </c>
      <c r="B197" s="7">
        <v>0.6</v>
      </c>
      <c r="C197" s="42">
        <f>$B$3*B197</f>
        <v>120</v>
      </c>
      <c r="D197" s="6" t="s">
        <v>95</v>
      </c>
      <c r="E197" s="7">
        <v>0.6</v>
      </c>
      <c r="F197" s="42">
        <f>$B$3*E197</f>
        <v>120</v>
      </c>
      <c r="G197" s="6" t="s">
        <v>105</v>
      </c>
      <c r="H197" s="7">
        <v>0.6</v>
      </c>
      <c r="I197" s="52">
        <f t="shared" ref="I197:I204" si="64">$B$4*H197</f>
        <v>84</v>
      </c>
      <c r="J197" s="6" t="s">
        <v>95</v>
      </c>
      <c r="K197" s="7">
        <v>0.6</v>
      </c>
      <c r="L197" s="42">
        <f>$B$3*K197</f>
        <v>120</v>
      </c>
    </row>
    <row r="198" spans="1:12" outlineLevel="1" x14ac:dyDescent="0.15">
      <c r="A198" s="6" t="s">
        <v>103</v>
      </c>
      <c r="B198" s="7">
        <v>0.7</v>
      </c>
      <c r="C198" s="42">
        <f>$B$3*B198</f>
        <v>140</v>
      </c>
      <c r="D198" s="6" t="s">
        <v>95</v>
      </c>
      <c r="E198" s="7">
        <v>0.7</v>
      </c>
      <c r="F198" s="42">
        <f>$B$3*E198</f>
        <v>140</v>
      </c>
      <c r="G198" s="6" t="s">
        <v>105</v>
      </c>
      <c r="H198" s="7">
        <v>0.7</v>
      </c>
      <c r="I198" s="52">
        <f t="shared" si="64"/>
        <v>98</v>
      </c>
      <c r="J198" s="6" t="s">
        <v>95</v>
      </c>
      <c r="K198" s="7">
        <v>0.7</v>
      </c>
      <c r="L198" s="42">
        <f>$B$3*K198</f>
        <v>140</v>
      </c>
    </row>
    <row r="199" spans="1:12" outlineLevel="1" x14ac:dyDescent="0.15">
      <c r="A199" s="6" t="s">
        <v>111</v>
      </c>
      <c r="B199" s="7">
        <v>0.8</v>
      </c>
      <c r="C199" s="42">
        <f>$B$3*B199</f>
        <v>160</v>
      </c>
      <c r="D199" s="6" t="s">
        <v>95</v>
      </c>
      <c r="E199" s="7">
        <v>0.8</v>
      </c>
      <c r="F199" s="42">
        <f>$B$3*E199</f>
        <v>160</v>
      </c>
      <c r="G199" s="6" t="s">
        <v>105</v>
      </c>
      <c r="H199" s="7">
        <v>0.8</v>
      </c>
      <c r="I199" s="52">
        <f t="shared" si="64"/>
        <v>112</v>
      </c>
      <c r="J199" s="6" t="s">
        <v>95</v>
      </c>
      <c r="K199" s="7">
        <v>0.8</v>
      </c>
      <c r="L199" s="42">
        <f>$B$3*K199</f>
        <v>160</v>
      </c>
    </row>
    <row r="200" spans="1:12" outlineLevel="1" x14ac:dyDescent="0.15">
      <c r="A200" s="6"/>
      <c r="B200" s="8"/>
      <c r="C200" s="43"/>
      <c r="D200" s="6" t="s">
        <v>95</v>
      </c>
      <c r="E200" s="7">
        <v>0.85</v>
      </c>
      <c r="F200" s="42">
        <f>$B$3*E200</f>
        <v>170</v>
      </c>
      <c r="G200" s="6" t="s">
        <v>105</v>
      </c>
      <c r="H200" s="7">
        <v>0.85</v>
      </c>
      <c r="I200" s="52">
        <f t="shared" si="64"/>
        <v>119</v>
      </c>
      <c r="J200" s="6" t="s">
        <v>96</v>
      </c>
      <c r="K200" s="7">
        <v>0.85</v>
      </c>
      <c r="L200" s="42">
        <f>$B$3*K200</f>
        <v>170</v>
      </c>
    </row>
    <row r="201" spans="1:12" outlineLevel="1" x14ac:dyDescent="0.15">
      <c r="A201" s="29" t="s">
        <v>42</v>
      </c>
      <c r="B201" s="8"/>
      <c r="C201" s="43"/>
      <c r="D201" s="6" t="s">
        <v>95</v>
      </c>
      <c r="E201" s="7">
        <v>0.8</v>
      </c>
      <c r="F201" s="42">
        <f>$B$3*E201</f>
        <v>160</v>
      </c>
      <c r="G201" s="6" t="s">
        <v>95</v>
      </c>
      <c r="H201" s="7">
        <v>0.8</v>
      </c>
      <c r="I201" s="52">
        <f t="shared" si="64"/>
        <v>112</v>
      </c>
      <c r="J201" s="6"/>
      <c r="K201" s="8"/>
      <c r="L201" s="43"/>
    </row>
    <row r="202" spans="1:12" outlineLevel="1" x14ac:dyDescent="0.15">
      <c r="A202" s="6" t="s">
        <v>105</v>
      </c>
      <c r="B202" s="7">
        <v>0.6</v>
      </c>
      <c r="C202" s="28">
        <f t="shared" ref="C202:C204" si="65">$B$7*B202</f>
        <v>57</v>
      </c>
      <c r="D202" s="6"/>
      <c r="E202" s="8"/>
      <c r="F202" s="43"/>
      <c r="G202" s="6" t="s">
        <v>95</v>
      </c>
      <c r="H202" s="7">
        <v>0.85</v>
      </c>
      <c r="I202" s="52">
        <f t="shared" si="64"/>
        <v>119</v>
      </c>
      <c r="J202" s="29" t="s">
        <v>38</v>
      </c>
      <c r="K202" s="8"/>
      <c r="L202" s="43"/>
    </row>
    <row r="203" spans="1:12" outlineLevel="1" x14ac:dyDescent="0.15">
      <c r="A203" s="6" t="s">
        <v>105</v>
      </c>
      <c r="B203" s="7">
        <v>0.7</v>
      </c>
      <c r="C203" s="28">
        <f t="shared" si="65"/>
        <v>66.5</v>
      </c>
      <c r="D203" s="29" t="s">
        <v>80</v>
      </c>
      <c r="E203" s="8"/>
      <c r="F203" s="43"/>
      <c r="G203" s="6" t="s">
        <v>95</v>
      </c>
      <c r="H203" s="7">
        <v>0.8</v>
      </c>
      <c r="I203" s="52">
        <f t="shared" si="64"/>
        <v>112</v>
      </c>
      <c r="J203" s="6" t="s">
        <v>163</v>
      </c>
      <c r="K203" s="7">
        <v>0.6</v>
      </c>
      <c r="L203" s="49">
        <f t="shared" ref="L203:L204" si="66">$B$5*K203</f>
        <v>54</v>
      </c>
    </row>
    <row r="204" spans="1:12" outlineLevel="1" x14ac:dyDescent="0.15">
      <c r="A204" s="6" t="s">
        <v>104</v>
      </c>
      <c r="B204" s="7">
        <v>0.8</v>
      </c>
      <c r="C204" s="28">
        <f t="shared" si="65"/>
        <v>76</v>
      </c>
      <c r="D204" s="6" t="s">
        <v>146</v>
      </c>
      <c r="E204" s="7">
        <v>0.6</v>
      </c>
      <c r="F204" s="28">
        <f t="shared" ref="F204:F206" si="67">$B$7*E204</f>
        <v>57</v>
      </c>
      <c r="G204" s="6" t="s">
        <v>95</v>
      </c>
      <c r="H204" s="7">
        <v>0.85</v>
      </c>
      <c r="I204" s="52">
        <f t="shared" si="64"/>
        <v>119</v>
      </c>
      <c r="J204" s="6" t="s">
        <v>171</v>
      </c>
      <c r="K204" s="7">
        <v>0.7</v>
      </c>
      <c r="L204" s="49">
        <f t="shared" si="66"/>
        <v>62.999999999999993</v>
      </c>
    </row>
    <row r="205" spans="1:12" outlineLevel="1" x14ac:dyDescent="0.15">
      <c r="A205" s="6"/>
      <c r="B205" s="8"/>
      <c r="C205" s="43"/>
      <c r="D205" s="6" t="s">
        <v>146</v>
      </c>
      <c r="E205" s="7">
        <v>0.65</v>
      </c>
      <c r="F205" s="28">
        <f t="shared" si="67"/>
        <v>61.75</v>
      </c>
      <c r="G205" s="6"/>
      <c r="H205" s="8"/>
      <c r="I205" s="43"/>
      <c r="J205" s="6"/>
      <c r="K205" s="8"/>
      <c r="L205" s="43"/>
    </row>
    <row r="206" spans="1:12" outlineLevel="1" x14ac:dyDescent="0.15">
      <c r="A206" s="29" t="s">
        <v>43</v>
      </c>
      <c r="B206" s="8"/>
      <c r="C206" s="43"/>
      <c r="D206" s="6" t="s">
        <v>147</v>
      </c>
      <c r="E206" s="7">
        <v>0.7</v>
      </c>
      <c r="F206" s="28">
        <f t="shared" si="67"/>
        <v>66.5</v>
      </c>
      <c r="G206" s="29" t="s">
        <v>42</v>
      </c>
      <c r="H206" s="8"/>
      <c r="I206" s="43"/>
      <c r="J206" s="29" t="s">
        <v>39</v>
      </c>
      <c r="K206" s="8"/>
      <c r="L206" s="43"/>
    </row>
    <row r="207" spans="1:12" outlineLevel="1" x14ac:dyDescent="0.15">
      <c r="A207" s="6" t="s">
        <v>115</v>
      </c>
      <c r="B207" s="7">
        <v>0.6</v>
      </c>
      <c r="C207" s="50">
        <f t="shared" ref="C207:C209" si="68">$B$8*B207</f>
        <v>69</v>
      </c>
      <c r="D207" s="6"/>
      <c r="E207" s="8"/>
      <c r="F207" s="43"/>
      <c r="G207" s="6" t="s">
        <v>95</v>
      </c>
      <c r="H207" s="7">
        <v>0.6</v>
      </c>
      <c r="I207" s="28">
        <f t="shared" ref="I207:I212" si="69">$B$7*H207</f>
        <v>57</v>
      </c>
      <c r="J207" s="6" t="s">
        <v>165</v>
      </c>
      <c r="K207" s="7">
        <v>0.6</v>
      </c>
      <c r="L207" s="50">
        <f>$B$8*K207</f>
        <v>69</v>
      </c>
    </row>
    <row r="208" spans="1:12" outlineLevel="1" x14ac:dyDescent="0.15">
      <c r="A208" s="6" t="s">
        <v>115</v>
      </c>
      <c r="B208" s="7">
        <v>0.7</v>
      </c>
      <c r="C208" s="50">
        <f t="shared" si="68"/>
        <v>80.5</v>
      </c>
      <c r="D208" s="29" t="s">
        <v>30</v>
      </c>
      <c r="E208" s="8"/>
      <c r="F208" s="43"/>
      <c r="G208" s="6" t="s">
        <v>95</v>
      </c>
      <c r="H208" s="7">
        <v>0.7</v>
      </c>
      <c r="I208" s="28">
        <f t="shared" si="69"/>
        <v>66.5</v>
      </c>
      <c r="J208" s="6" t="s">
        <v>172</v>
      </c>
      <c r="K208" s="7">
        <v>0.7</v>
      </c>
      <c r="L208" s="50">
        <f>$B$8*K208</f>
        <v>80.5</v>
      </c>
    </row>
    <row r="209" spans="1:12" outlineLevel="1" x14ac:dyDescent="0.15">
      <c r="A209" s="6" t="s">
        <v>129</v>
      </c>
      <c r="B209" s="7">
        <v>0.8</v>
      </c>
      <c r="C209" s="50">
        <f t="shared" si="68"/>
        <v>92</v>
      </c>
      <c r="D209" s="6" t="s">
        <v>139</v>
      </c>
      <c r="E209" s="7">
        <v>0.6</v>
      </c>
      <c r="F209" s="50">
        <f t="shared" ref="F209:F211" si="70">$B$8*E209</f>
        <v>69</v>
      </c>
      <c r="G209" s="6" t="s">
        <v>95</v>
      </c>
      <c r="H209" s="7">
        <v>0.8</v>
      </c>
      <c r="I209" s="28">
        <f t="shared" si="69"/>
        <v>76</v>
      </c>
      <c r="J209" s="6"/>
      <c r="K209" s="8"/>
      <c r="L209" s="43"/>
    </row>
    <row r="210" spans="1:12" outlineLevel="1" x14ac:dyDescent="0.15">
      <c r="A210" s="6"/>
      <c r="B210" s="8"/>
      <c r="C210" s="43"/>
      <c r="D210" s="6" t="s">
        <v>139</v>
      </c>
      <c r="E210" s="7">
        <v>0.65</v>
      </c>
      <c r="F210" s="50">
        <f t="shared" si="70"/>
        <v>74.75</v>
      </c>
      <c r="G210" s="6" t="s">
        <v>95</v>
      </c>
      <c r="H210" s="7">
        <v>0.85</v>
      </c>
      <c r="I210" s="28">
        <f t="shared" si="69"/>
        <v>80.75</v>
      </c>
      <c r="J210" s="6"/>
      <c r="K210" s="8"/>
      <c r="L210" s="43"/>
    </row>
    <row r="211" spans="1:12" outlineLevel="1" x14ac:dyDescent="0.15">
      <c r="A211" s="29" t="s">
        <v>90</v>
      </c>
      <c r="B211" s="8"/>
      <c r="C211" s="43"/>
      <c r="D211" s="6" t="s">
        <v>148</v>
      </c>
      <c r="E211" s="7">
        <v>0.7</v>
      </c>
      <c r="F211" s="50">
        <f t="shared" si="70"/>
        <v>80.5</v>
      </c>
      <c r="G211" s="6" t="s">
        <v>113</v>
      </c>
      <c r="H211" s="7">
        <v>0.9</v>
      </c>
      <c r="I211" s="28">
        <f t="shared" si="69"/>
        <v>85.5</v>
      </c>
      <c r="J211" s="6"/>
      <c r="K211" s="8"/>
      <c r="L211" s="43"/>
    </row>
    <row r="212" spans="1:12" outlineLevel="1" x14ac:dyDescent="0.15">
      <c r="A212" s="6" t="s">
        <v>105</v>
      </c>
      <c r="B212" s="7">
        <v>0.85</v>
      </c>
      <c r="C212" s="28">
        <f t="shared" ref="C212:C213" si="71">$B$7*B212</f>
        <v>80.75</v>
      </c>
      <c r="D212" s="6"/>
      <c r="E212" s="8"/>
      <c r="F212" s="43"/>
      <c r="G212" s="6" t="s">
        <v>96</v>
      </c>
      <c r="H212" s="7">
        <v>0.8</v>
      </c>
      <c r="I212" s="28">
        <f t="shared" si="69"/>
        <v>76</v>
      </c>
      <c r="J212" s="6"/>
      <c r="K212" s="8"/>
      <c r="L212" s="43"/>
    </row>
    <row r="213" spans="1:12" outlineLevel="1" x14ac:dyDescent="0.15">
      <c r="A213" s="6" t="s">
        <v>110</v>
      </c>
      <c r="B213" s="7">
        <v>0.95</v>
      </c>
      <c r="C213" s="28">
        <f t="shared" si="71"/>
        <v>90.25</v>
      </c>
      <c r="D213" s="29" t="s">
        <v>89</v>
      </c>
      <c r="E213" s="8"/>
      <c r="F213" s="43"/>
      <c r="G213" s="6"/>
      <c r="H213" s="8"/>
      <c r="I213" s="43"/>
      <c r="J213" s="6"/>
      <c r="K213" s="8"/>
      <c r="L213" s="43"/>
    </row>
    <row r="214" spans="1:12" outlineLevel="1" x14ac:dyDescent="0.15">
      <c r="A214" s="6"/>
      <c r="B214" s="8"/>
      <c r="C214" s="43"/>
      <c r="D214" s="6" t="s">
        <v>105</v>
      </c>
      <c r="E214" s="7">
        <v>0.8</v>
      </c>
      <c r="F214" s="46">
        <f t="shared" ref="F214:F218" si="72">$B$6*E214</f>
        <v>88</v>
      </c>
      <c r="G214" s="29" t="s">
        <v>43</v>
      </c>
      <c r="H214" s="8"/>
      <c r="I214" s="43"/>
      <c r="J214" s="6"/>
      <c r="K214" s="8"/>
      <c r="L214" s="43"/>
    </row>
    <row r="215" spans="1:12" outlineLevel="1" x14ac:dyDescent="0.15">
      <c r="A215" s="29" t="s">
        <v>23</v>
      </c>
      <c r="B215" s="8"/>
      <c r="C215" s="43"/>
      <c r="D215" s="6" t="s">
        <v>105</v>
      </c>
      <c r="E215" s="7">
        <v>0.9</v>
      </c>
      <c r="F215" s="46">
        <f t="shared" si="72"/>
        <v>99</v>
      </c>
      <c r="G215" s="6" t="s">
        <v>161</v>
      </c>
      <c r="H215" s="7">
        <v>0.6</v>
      </c>
      <c r="I215" s="50">
        <f t="shared" ref="I215:I220" si="73">$B$8*H215</f>
        <v>69</v>
      </c>
      <c r="J215" s="6"/>
      <c r="K215" s="8"/>
      <c r="L215" s="43"/>
    </row>
    <row r="216" spans="1:12" outlineLevel="1" x14ac:dyDescent="0.15">
      <c r="A216" s="6" t="s">
        <v>105</v>
      </c>
      <c r="B216" s="7">
        <v>0.6</v>
      </c>
      <c r="C216" s="47">
        <f t="shared" ref="C216:C218" si="74">$B$10*B216</f>
        <v>48</v>
      </c>
      <c r="D216" s="6" t="s">
        <v>95</v>
      </c>
      <c r="E216" s="7">
        <v>1</v>
      </c>
      <c r="F216" s="46">
        <f t="shared" si="72"/>
        <v>110</v>
      </c>
      <c r="G216" s="6" t="s">
        <v>161</v>
      </c>
      <c r="H216" s="7">
        <v>0.7</v>
      </c>
      <c r="I216" s="50">
        <f t="shared" si="73"/>
        <v>80.5</v>
      </c>
      <c r="J216" s="6"/>
      <c r="K216" s="8"/>
      <c r="L216" s="43"/>
    </row>
    <row r="217" spans="1:12" outlineLevel="1" x14ac:dyDescent="0.15">
      <c r="A217" s="6" t="s">
        <v>105</v>
      </c>
      <c r="B217" s="7">
        <v>0.65</v>
      </c>
      <c r="C217" s="47">
        <f t="shared" si="74"/>
        <v>52</v>
      </c>
      <c r="D217" s="6" t="s">
        <v>95</v>
      </c>
      <c r="E217" s="7">
        <v>0.85</v>
      </c>
      <c r="F217" s="46">
        <f t="shared" si="72"/>
        <v>93.5</v>
      </c>
      <c r="G217" s="6" t="s">
        <v>161</v>
      </c>
      <c r="H217" s="7">
        <v>0.8</v>
      </c>
      <c r="I217" s="50">
        <f t="shared" si="73"/>
        <v>92</v>
      </c>
      <c r="J217" s="6"/>
      <c r="K217" s="8"/>
      <c r="L217" s="43"/>
    </row>
    <row r="218" spans="1:12" outlineLevel="1" x14ac:dyDescent="0.15">
      <c r="A218" s="6" t="s">
        <v>130</v>
      </c>
      <c r="B218" s="7">
        <v>0.7</v>
      </c>
      <c r="C218" s="47">
        <f t="shared" si="74"/>
        <v>56</v>
      </c>
      <c r="D218" s="6" t="s">
        <v>95</v>
      </c>
      <c r="E218" s="7">
        <v>0.9</v>
      </c>
      <c r="F218" s="46">
        <f t="shared" si="72"/>
        <v>99</v>
      </c>
      <c r="G218" s="6" t="s">
        <v>161</v>
      </c>
      <c r="H218" s="7">
        <v>0.85</v>
      </c>
      <c r="I218" s="50">
        <f t="shared" si="73"/>
        <v>97.75</v>
      </c>
      <c r="J218" s="6"/>
      <c r="K218" s="8"/>
      <c r="L218" s="43"/>
    </row>
    <row r="219" spans="1:12" outlineLevel="1" x14ac:dyDescent="0.15">
      <c r="A219" s="6"/>
      <c r="B219" s="8"/>
      <c r="C219" s="43"/>
      <c r="D219" s="6"/>
      <c r="E219" s="8"/>
      <c r="F219" s="43"/>
      <c r="G219" s="6" t="s">
        <v>144</v>
      </c>
      <c r="H219" s="7">
        <v>0.9</v>
      </c>
      <c r="I219" s="50">
        <f t="shared" si="73"/>
        <v>103.5</v>
      </c>
      <c r="J219" s="6"/>
      <c r="K219" s="8"/>
      <c r="L219" s="43"/>
    </row>
    <row r="220" spans="1:12" outlineLevel="1" x14ac:dyDescent="0.15">
      <c r="A220" s="29" t="s">
        <v>65</v>
      </c>
      <c r="B220" s="8"/>
      <c r="C220" s="43"/>
      <c r="D220" s="29" t="s">
        <v>81</v>
      </c>
      <c r="E220" s="8"/>
      <c r="F220" s="43"/>
      <c r="G220" s="6" t="s">
        <v>145</v>
      </c>
      <c r="H220" s="7">
        <v>0.8</v>
      </c>
      <c r="I220" s="50">
        <f t="shared" si="73"/>
        <v>92</v>
      </c>
      <c r="J220" s="6"/>
      <c r="K220" s="8"/>
      <c r="L220" s="43"/>
    </row>
    <row r="221" spans="1:12" outlineLevel="1" x14ac:dyDescent="0.15">
      <c r="A221" s="6" t="s">
        <v>59</v>
      </c>
      <c r="B221" s="8"/>
      <c r="C221" s="43"/>
      <c r="D221" s="6" t="s">
        <v>63</v>
      </c>
      <c r="E221" s="8"/>
      <c r="F221" s="43"/>
      <c r="G221" s="6"/>
      <c r="H221" s="8"/>
      <c r="I221" s="43"/>
      <c r="J221" s="6"/>
      <c r="K221" s="8"/>
      <c r="L221" s="43"/>
    </row>
    <row r="222" spans="1:12" outlineLevel="1" x14ac:dyDescent="0.15">
      <c r="A222" s="6" t="s">
        <v>37</v>
      </c>
      <c r="B222" s="8"/>
      <c r="C222" s="43"/>
      <c r="D222" s="6" t="s">
        <v>37</v>
      </c>
      <c r="E222" s="8"/>
      <c r="F222" s="43"/>
      <c r="G222" s="29" t="s">
        <v>91</v>
      </c>
      <c r="H222" s="8"/>
      <c r="I222" s="43"/>
      <c r="J222" s="6"/>
      <c r="K222" s="8"/>
      <c r="L222" s="43"/>
    </row>
    <row r="223" spans="1:12" outlineLevel="1" x14ac:dyDescent="0.15">
      <c r="A223" s="6"/>
      <c r="B223" s="8"/>
      <c r="C223" s="43"/>
      <c r="D223" s="6"/>
      <c r="E223" s="8"/>
      <c r="F223" s="43"/>
      <c r="G223" s="6" t="s">
        <v>105</v>
      </c>
      <c r="H223" s="7">
        <v>1</v>
      </c>
      <c r="I223" s="28">
        <f t="shared" ref="I223:I228" si="75">$B$7*H223</f>
        <v>95</v>
      </c>
      <c r="J223" s="6"/>
      <c r="K223" s="8"/>
      <c r="L223" s="43"/>
    </row>
    <row r="224" spans="1:12" outlineLevel="1" x14ac:dyDescent="0.15">
      <c r="A224" s="6"/>
      <c r="B224" s="8"/>
      <c r="C224" s="43"/>
      <c r="D224" s="6"/>
      <c r="E224" s="8"/>
      <c r="F224" s="43"/>
      <c r="G224" s="6" t="s">
        <v>105</v>
      </c>
      <c r="H224" s="7">
        <v>1.1000000000000001</v>
      </c>
      <c r="I224" s="28">
        <f t="shared" si="75"/>
        <v>104.50000000000001</v>
      </c>
      <c r="J224" s="6"/>
      <c r="K224" s="8"/>
      <c r="L224" s="43"/>
    </row>
    <row r="225" spans="1:12" outlineLevel="1" x14ac:dyDescent="0.15">
      <c r="A225" s="6"/>
      <c r="B225" s="8"/>
      <c r="C225" s="43"/>
      <c r="D225" s="6"/>
      <c r="E225" s="8"/>
      <c r="F225" s="43"/>
      <c r="G225" s="6" t="s">
        <v>105</v>
      </c>
      <c r="H225" s="7">
        <v>1</v>
      </c>
      <c r="I225" s="28">
        <f t="shared" si="75"/>
        <v>95</v>
      </c>
      <c r="J225" s="6"/>
      <c r="K225" s="8"/>
      <c r="L225" s="43"/>
    </row>
    <row r="226" spans="1:12" outlineLevel="1" x14ac:dyDescent="0.15">
      <c r="A226" s="6"/>
      <c r="B226" s="8"/>
      <c r="C226" s="43"/>
      <c r="D226" s="6"/>
      <c r="E226" s="8"/>
      <c r="F226" s="43"/>
      <c r="G226" s="6" t="s">
        <v>105</v>
      </c>
      <c r="H226" s="7">
        <v>1.1000000000000001</v>
      </c>
      <c r="I226" s="28">
        <f t="shared" si="75"/>
        <v>104.50000000000001</v>
      </c>
      <c r="J226" s="6"/>
      <c r="K226" s="8"/>
      <c r="L226" s="43"/>
    </row>
    <row r="227" spans="1:12" outlineLevel="1" x14ac:dyDescent="0.15">
      <c r="A227" s="6"/>
      <c r="B227" s="8"/>
      <c r="C227" s="43"/>
      <c r="D227" s="6"/>
      <c r="E227" s="8"/>
      <c r="F227" s="43"/>
      <c r="G227" s="6" t="s">
        <v>105</v>
      </c>
      <c r="H227" s="7">
        <v>1</v>
      </c>
      <c r="I227" s="28">
        <f t="shared" si="75"/>
        <v>95</v>
      </c>
      <c r="J227" s="6"/>
      <c r="K227" s="8"/>
      <c r="L227" s="43"/>
    </row>
    <row r="228" spans="1:12" outlineLevel="1" x14ac:dyDescent="0.15">
      <c r="A228" s="6"/>
      <c r="B228" s="8"/>
      <c r="C228" s="43"/>
      <c r="D228" s="6"/>
      <c r="E228" s="8"/>
      <c r="F228" s="43"/>
      <c r="G228" s="6" t="s">
        <v>105</v>
      </c>
      <c r="H228" s="7">
        <v>1.1000000000000001</v>
      </c>
      <c r="I228" s="28">
        <f t="shared" si="75"/>
        <v>104.50000000000001</v>
      </c>
      <c r="J228" s="6"/>
      <c r="K228" s="8"/>
      <c r="L228" s="43"/>
    </row>
    <row r="229" spans="1:12" outlineLevel="1" x14ac:dyDescent="0.15">
      <c r="A229" s="6"/>
      <c r="B229" s="8"/>
      <c r="C229" s="43"/>
      <c r="D229" s="6"/>
      <c r="E229" s="8"/>
      <c r="F229" s="43"/>
      <c r="G229" s="6"/>
      <c r="H229" s="8"/>
      <c r="I229" s="43"/>
      <c r="J229" s="6"/>
      <c r="K229" s="8"/>
      <c r="L229" s="43"/>
    </row>
    <row r="230" spans="1:12" outlineLevel="1" x14ac:dyDescent="0.15">
      <c r="A230" s="6"/>
      <c r="B230" s="8"/>
      <c r="C230" s="43"/>
      <c r="D230" s="6"/>
      <c r="E230" s="8"/>
      <c r="F230" s="43"/>
      <c r="G230" s="29" t="s">
        <v>47</v>
      </c>
      <c r="H230" s="8"/>
      <c r="I230" s="43"/>
      <c r="J230" s="6"/>
      <c r="K230" s="8"/>
      <c r="L230" s="43"/>
    </row>
    <row r="231" spans="1:12" outlineLevel="1" x14ac:dyDescent="0.15">
      <c r="A231" s="6"/>
      <c r="B231" s="8"/>
      <c r="C231" s="43"/>
      <c r="D231" s="6"/>
      <c r="E231" s="8"/>
      <c r="F231" s="43"/>
      <c r="G231" s="6" t="s">
        <v>63</v>
      </c>
      <c r="H231" s="8"/>
      <c r="I231" s="43"/>
      <c r="J231" s="6"/>
      <c r="K231" s="8"/>
      <c r="L231" s="43"/>
    </row>
    <row r="232" spans="1:12" ht="12" outlineLevel="1" thickBot="1" x14ac:dyDescent="0.2">
      <c r="A232" s="9"/>
      <c r="B232" s="10"/>
      <c r="C232" s="48"/>
      <c r="D232" s="9"/>
      <c r="E232" s="10"/>
      <c r="F232" s="48"/>
      <c r="G232" s="9" t="s">
        <v>37</v>
      </c>
      <c r="H232" s="10"/>
      <c r="I232" s="48"/>
      <c r="J232" s="9"/>
      <c r="K232" s="10"/>
      <c r="L232" s="48"/>
    </row>
  </sheetData>
  <mergeCells count="1">
    <mergeCell ref="A1:G1"/>
  </mergeCells>
  <hyperlinks>
    <hyperlink ref="A1" r:id="rId1" xr:uid="{002757DE-C567-4282-9C0F-C3FDC33979DA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D3EE5-23A5-409C-A53D-9D978ECB499A}">
  <sheetPr codeName="Sheet9"/>
  <dimension ref="A1:L663"/>
  <sheetViews>
    <sheetView tabSelected="1" zoomScaleNormal="100" workbookViewId="0">
      <selection activeCell="F6" sqref="F6"/>
    </sheetView>
  </sheetViews>
  <sheetFormatPr defaultRowHeight="15" customHeight="1" x14ac:dyDescent="0.25"/>
  <cols>
    <col min="1" max="1" width="48.42578125" style="62" customWidth="1"/>
    <col min="2" max="3" width="8.85546875" style="2" customWidth="1"/>
    <col min="4" max="4" width="6.5703125" style="2" customWidth="1"/>
    <col min="5" max="5" width="6.85546875" style="2" customWidth="1"/>
    <col min="6" max="6" width="114.28515625" style="2" bestFit="1" customWidth="1"/>
    <col min="7" max="7" width="88.28515625" style="62" bestFit="1" customWidth="1"/>
    <col min="8" max="9" width="8.85546875" style="2" customWidth="1"/>
    <col min="10" max="10" width="48.42578125" style="62" customWidth="1"/>
    <col min="11" max="12" width="8.85546875" style="2" customWidth="1"/>
    <col min="13" max="16384" width="9.140625" style="62"/>
  </cols>
  <sheetData>
    <row r="1" spans="1:12" ht="15" customHeight="1" x14ac:dyDescent="0.25">
      <c r="A1" s="107" t="s">
        <v>92</v>
      </c>
      <c r="B1" s="107"/>
      <c r="C1" s="107"/>
      <c r="D1" s="107"/>
      <c r="E1" s="107"/>
      <c r="F1" s="107"/>
      <c r="G1" s="107"/>
    </row>
    <row r="2" spans="1:12" ht="15" customHeight="1" thickBot="1" x14ac:dyDescent="0.3">
      <c r="A2" s="61"/>
      <c r="B2" s="4"/>
      <c r="C2" s="61"/>
      <c r="D2" s="4"/>
      <c r="E2" s="4"/>
      <c r="G2" s="2"/>
      <c r="H2" s="62"/>
      <c r="J2" s="2"/>
      <c r="K2" s="62"/>
      <c r="L2" s="62"/>
    </row>
    <row r="3" spans="1:12" ht="15" customHeight="1" x14ac:dyDescent="0.25">
      <c r="A3" s="63" t="s">
        <v>0</v>
      </c>
      <c r="B3" s="103">
        <v>200</v>
      </c>
      <c r="C3" s="53" t="s">
        <v>181</v>
      </c>
      <c r="D3" s="4"/>
      <c r="E3" s="4"/>
      <c r="G3" s="2"/>
      <c r="H3" s="62"/>
      <c r="J3" s="2"/>
      <c r="K3" s="62"/>
      <c r="L3" s="62"/>
    </row>
    <row r="4" spans="1:12" ht="15" customHeight="1" x14ac:dyDescent="0.25">
      <c r="A4" s="64" t="s">
        <v>34</v>
      </c>
      <c r="B4" s="97">
        <v>140</v>
      </c>
      <c r="C4" s="54" t="s">
        <v>182</v>
      </c>
      <c r="D4" s="4"/>
      <c r="E4" s="4"/>
      <c r="G4" s="2"/>
      <c r="H4" s="62"/>
      <c r="J4" s="2"/>
      <c r="K4" s="62"/>
      <c r="L4" s="62"/>
    </row>
    <row r="5" spans="1:12" ht="15" customHeight="1" x14ac:dyDescent="0.25">
      <c r="A5" s="65" t="s">
        <v>173</v>
      </c>
      <c r="B5" s="98">
        <v>90</v>
      </c>
      <c r="C5" s="55" t="s">
        <v>183</v>
      </c>
      <c r="D5" s="4"/>
      <c r="E5" s="4"/>
      <c r="G5" s="2"/>
      <c r="H5" s="62"/>
      <c r="J5" s="2"/>
      <c r="K5" s="62"/>
      <c r="L5" s="62"/>
    </row>
    <row r="6" spans="1:12" ht="15" customHeight="1" x14ac:dyDescent="0.25">
      <c r="A6" s="66" t="s">
        <v>175</v>
      </c>
      <c r="B6" s="99">
        <v>110</v>
      </c>
      <c r="C6" s="56" t="s">
        <v>184</v>
      </c>
      <c r="D6" s="4"/>
      <c r="E6" s="4"/>
      <c r="G6" s="2"/>
      <c r="H6" s="62"/>
      <c r="J6" s="2"/>
      <c r="K6" s="62"/>
      <c r="L6" s="62"/>
    </row>
    <row r="7" spans="1:12" ht="15" customHeight="1" x14ac:dyDescent="0.25">
      <c r="A7" s="67" t="s">
        <v>42</v>
      </c>
      <c r="B7" s="100">
        <v>95</v>
      </c>
      <c r="C7" s="57" t="s">
        <v>185</v>
      </c>
      <c r="D7" s="4"/>
      <c r="E7" s="4"/>
      <c r="F7" s="61"/>
      <c r="G7" s="61"/>
    </row>
    <row r="8" spans="1:12" ht="15" customHeight="1" x14ac:dyDescent="0.25">
      <c r="A8" s="68" t="s">
        <v>49</v>
      </c>
      <c r="B8" s="101">
        <v>115</v>
      </c>
      <c r="C8" s="58" t="s">
        <v>186</v>
      </c>
      <c r="D8" s="4"/>
      <c r="E8" s="4"/>
      <c r="F8" s="61"/>
      <c r="G8" s="61"/>
    </row>
    <row r="9" spans="1:12" ht="15" customHeight="1" x14ac:dyDescent="0.25">
      <c r="A9" s="69" t="s">
        <v>176</v>
      </c>
      <c r="B9" s="102">
        <v>200</v>
      </c>
      <c r="C9" s="59" t="s">
        <v>187</v>
      </c>
      <c r="D9" s="4"/>
      <c r="E9" s="4"/>
      <c r="F9" s="61"/>
      <c r="G9" s="61"/>
    </row>
    <row r="10" spans="1:12" ht="15" customHeight="1" thickBot="1" x14ac:dyDescent="0.3">
      <c r="A10" s="70" t="s">
        <v>23</v>
      </c>
      <c r="B10" s="104">
        <v>80</v>
      </c>
      <c r="C10" s="60" t="s">
        <v>188</v>
      </c>
      <c r="D10" s="4"/>
      <c r="E10" s="4"/>
      <c r="F10" s="61"/>
      <c r="G10" s="61"/>
    </row>
    <row r="11" spans="1:12" ht="15" customHeight="1" thickBot="1" x14ac:dyDescent="0.3">
      <c r="A11" s="61"/>
      <c r="B11" s="4"/>
      <c r="C11" s="61"/>
      <c r="D11" s="4"/>
      <c r="E11" s="4"/>
      <c r="F11" s="61"/>
      <c r="G11" s="61"/>
    </row>
    <row r="12" spans="1:12" s="13" customFormat="1" ht="15" customHeight="1" x14ac:dyDescent="0.25">
      <c r="A12" s="85" t="s">
        <v>4</v>
      </c>
      <c r="B12" s="86" t="s">
        <v>93</v>
      </c>
      <c r="C12" s="87" t="s">
        <v>94</v>
      </c>
      <c r="D12" s="86" t="s">
        <v>192</v>
      </c>
      <c r="E12" s="87" t="s">
        <v>190</v>
      </c>
      <c r="F12" s="93" t="s">
        <v>191</v>
      </c>
    </row>
    <row r="13" spans="1:12" ht="15" customHeight="1" x14ac:dyDescent="0.25">
      <c r="A13" s="72" t="s">
        <v>0</v>
      </c>
      <c r="B13" s="8"/>
      <c r="C13" s="76"/>
      <c r="D13" s="8" t="str">
        <f>IF(ISNUMBER(B13), B13 * 100, "")</f>
        <v/>
      </c>
      <c r="E13" s="8" t="str" cm="1">
        <f t="array" ref="E13">GetColorMatchValue(C13, $C$3:$C$10)</f>
        <v/>
      </c>
      <c r="F13" s="88" t="str">
        <f>"&lt;tr&gt;&lt;th colspan=""3""&gt;"&amp;A13&amp;"&lt;/th&gt;&lt;/tr&gt;"</f>
        <v>&lt;tr&gt;&lt;th colspan="3"&gt;Back Squat&lt;/th&gt;&lt;/tr&gt;</v>
      </c>
    </row>
    <row r="14" spans="1:12" ht="15" customHeight="1" x14ac:dyDescent="0.25">
      <c r="A14" s="71" t="s">
        <v>95</v>
      </c>
      <c r="B14" s="7">
        <v>0.6</v>
      </c>
      <c r="C14" s="77">
        <f>$B$3*B14</f>
        <v>120</v>
      </c>
      <c r="D14" s="8">
        <f t="shared" ref="D14:D77" si="0">IF(ISNUMBER(B14), B14 * 100, "")</f>
        <v>60</v>
      </c>
      <c r="E14" s="8" t="str" cm="1">
        <f t="array" ref="E14">GetColorMatchValue(C14, $C$3:$C$10)</f>
        <v>bs</v>
      </c>
      <c r="F14" s="88" t="str">
        <f>"&lt;tr&gt;&lt;td&gt;"&amp;A14&amp;"&lt;/td&gt;&lt;td&gt;"&amp;D14&amp;"%&lt;/td&gt;&lt;td&gt;${percent("&amp;E14&amp;", "&amp;D14&amp;")}&lt;/td&gt;&lt;/tr&gt;"</f>
        <v>&lt;tr&gt;&lt;td&gt;1 Set of 3 Reps &lt;/td&gt;&lt;td&gt;60%&lt;/td&gt;&lt;td&gt;${percent(bs, 60)}&lt;/td&gt;&lt;/tr&gt;</v>
      </c>
    </row>
    <row r="15" spans="1:12" ht="15" customHeight="1" x14ac:dyDescent="0.25">
      <c r="A15" s="71" t="s">
        <v>95</v>
      </c>
      <c r="B15" s="7">
        <v>0.7</v>
      </c>
      <c r="C15" s="77">
        <f>$B$3*B15</f>
        <v>140</v>
      </c>
      <c r="D15" s="8">
        <f t="shared" si="0"/>
        <v>70</v>
      </c>
      <c r="E15" s="8" t="str" cm="1">
        <f t="array" ref="E15">GetColorMatchValue(C15, $C$3:$C$10)</f>
        <v>bs</v>
      </c>
      <c r="F15" s="88" t="str">
        <f t="shared" ref="F15:F16" si="1">"&lt;tr&gt;&lt;td&gt;"&amp;A15&amp;"&lt;/td&gt;&lt;td&gt;"&amp;D15&amp;"%&lt;/td&gt;&lt;td&gt;${percent("&amp;E15&amp;", "&amp;D15&amp;")}&lt;/td&gt;&lt;/tr&gt;"</f>
        <v>&lt;tr&gt;&lt;td&gt;1 Set of 3 Reps &lt;/td&gt;&lt;td&gt;70%&lt;/td&gt;&lt;td&gt;${percent(bs, 70)}&lt;/td&gt;&lt;/tr&gt;</v>
      </c>
    </row>
    <row r="16" spans="1:12" ht="15" customHeight="1" x14ac:dyDescent="0.25">
      <c r="A16" s="71" t="s">
        <v>96</v>
      </c>
      <c r="B16" s="7">
        <v>0.8</v>
      </c>
      <c r="C16" s="77">
        <f>$B$3*B16</f>
        <v>160</v>
      </c>
      <c r="D16" s="8">
        <f t="shared" si="0"/>
        <v>80</v>
      </c>
      <c r="E16" s="8" t="str" cm="1">
        <f t="array" ref="E16">GetColorMatchValue(C16, $C$3:$C$10)</f>
        <v>bs</v>
      </c>
      <c r="F16" s="88" t="str">
        <f t="shared" si="1"/>
        <v>&lt;tr&gt;&lt;td&gt;4 Sets of 3 Reps &lt;/td&gt;&lt;td&gt;80%&lt;/td&gt;&lt;td&gt;${percent(bs, 80)}&lt;/td&gt;&lt;/tr&gt;</v>
      </c>
    </row>
    <row r="17" spans="1:6" ht="15" customHeight="1" x14ac:dyDescent="0.25">
      <c r="A17" s="71"/>
      <c r="B17" s="8"/>
      <c r="C17" s="76"/>
      <c r="D17" s="8" t="str">
        <f t="shared" si="0"/>
        <v/>
      </c>
      <c r="E17" s="8" t="str" cm="1">
        <f t="array" ref="E17">GetColorMatchValue(C17, $C$3:$C$10)</f>
        <v/>
      </c>
      <c r="F17" s="89" t="s">
        <v>193</v>
      </c>
    </row>
    <row r="18" spans="1:6" ht="15" customHeight="1" x14ac:dyDescent="0.25">
      <c r="A18" s="72" t="s">
        <v>83</v>
      </c>
      <c r="B18" s="8"/>
      <c r="C18" s="76"/>
      <c r="D18" s="8" t="str">
        <f t="shared" si="0"/>
        <v/>
      </c>
      <c r="E18" s="8" t="str" cm="1">
        <f t="array" ref="E18">GetColorMatchValue(C18, $C$3:$C$10)</f>
        <v/>
      </c>
      <c r="F18" s="88" t="str">
        <f>"&lt;tr&gt;&lt;th colspan=""3""&gt;"&amp;A18&amp;"&lt;/th&gt;&lt;/tr&gt;"</f>
        <v>&lt;tr&gt;&lt;th colspan="3"&gt;Snatch Pulls &lt;/th&gt;&lt;/tr&gt;</v>
      </c>
    </row>
    <row r="19" spans="1:6" ht="15" customHeight="1" x14ac:dyDescent="0.25">
      <c r="A19" s="71" t="s">
        <v>97</v>
      </c>
      <c r="B19" s="7">
        <v>0.9</v>
      </c>
      <c r="C19" s="78">
        <f>$B$7*B19</f>
        <v>85.5</v>
      </c>
      <c r="D19" s="8">
        <f t="shared" si="0"/>
        <v>90</v>
      </c>
      <c r="E19" s="8" t="str" cm="1">
        <f t="array" ref="E19">GetColorMatchValue(C19, $C$3:$C$10)</f>
        <v>s</v>
      </c>
      <c r="F19" s="88" t="str">
        <f>"&lt;tr&gt;&lt;td&gt;"&amp;A19&amp;"&lt;/td&gt;&lt;td&gt;"&amp;D19&amp;"%&lt;/td&gt;&lt;td&gt;${percent("&amp;E19&amp;", "&amp;D19&amp;")}&lt;/td&gt;&lt;/tr&gt;"</f>
        <v>&lt;tr&gt;&lt;td&gt;3 Sets of 2 Reps &lt;/td&gt;&lt;td&gt;90%&lt;/td&gt;&lt;td&gt;${percent(s, 90)}&lt;/td&gt;&lt;/tr&gt;</v>
      </c>
    </row>
    <row r="20" spans="1:6" ht="15" customHeight="1" x14ac:dyDescent="0.25">
      <c r="A20" s="71"/>
      <c r="B20" s="8"/>
      <c r="C20" s="76"/>
      <c r="D20" s="8" t="str">
        <f t="shared" si="0"/>
        <v/>
      </c>
      <c r="E20" s="8" t="str" cm="1">
        <f t="array" ref="E20">GetColorMatchValue(C20, $C$3:$C$10)</f>
        <v/>
      </c>
      <c r="F20" s="89" t="s">
        <v>193</v>
      </c>
    </row>
    <row r="21" spans="1:6" ht="15" customHeight="1" x14ac:dyDescent="0.25">
      <c r="A21" s="72" t="s">
        <v>1</v>
      </c>
      <c r="B21" s="8"/>
      <c r="C21" s="76"/>
      <c r="D21" s="8" t="str">
        <f t="shared" si="0"/>
        <v/>
      </c>
      <c r="E21" s="8" t="str" cm="1">
        <f t="array" ref="E21">GetColorMatchValue(C21, $C$3:$C$10)</f>
        <v/>
      </c>
      <c r="F21" s="88" t="str">
        <f>"&lt;tr&gt;&lt;th colspan=""3""&gt;"&amp;A21&amp;"&lt;/th&gt;&lt;/tr&gt;"</f>
        <v>&lt;tr&gt;&lt;th colspan="3"&gt;Power Snatch&lt;/th&gt;&lt;/tr&gt;</v>
      </c>
    </row>
    <row r="22" spans="1:6" ht="15" customHeight="1" x14ac:dyDescent="0.25">
      <c r="A22" s="71" t="s">
        <v>98</v>
      </c>
      <c r="B22" s="7">
        <v>0.6</v>
      </c>
      <c r="C22" s="78">
        <f t="shared" ref="C22:C25" si="2">$B$7*B22</f>
        <v>57</v>
      </c>
      <c r="D22" s="8">
        <f t="shared" si="0"/>
        <v>60</v>
      </c>
      <c r="E22" s="8" t="str" cm="1">
        <f t="array" ref="E22">GetColorMatchValue(C22, $C$3:$C$10)</f>
        <v>s</v>
      </c>
      <c r="F22" s="88" t="str">
        <f t="shared" ref="F22:F25" si="3">"&lt;tr&gt;&lt;td&gt;"&amp;A22&amp;"&lt;/td&gt;&lt;td&gt;"&amp;D22&amp;"%&lt;/td&gt;&lt;td&gt;${percent("&amp;E22&amp;", "&amp;D22&amp;")}&lt;/td&gt;&lt;/tr&gt;"</f>
        <v>&lt;tr&gt;&lt;td&gt;1 Set of 1 Rep &lt;/td&gt;&lt;td&gt;60%&lt;/td&gt;&lt;td&gt;${percent(s, 60)}&lt;/td&gt;&lt;/tr&gt;</v>
      </c>
    </row>
    <row r="23" spans="1:6" ht="15" customHeight="1" x14ac:dyDescent="0.25">
      <c r="A23" s="71" t="s">
        <v>98</v>
      </c>
      <c r="B23" s="7">
        <v>0.7</v>
      </c>
      <c r="C23" s="78">
        <f t="shared" si="2"/>
        <v>66.5</v>
      </c>
      <c r="D23" s="8">
        <f t="shared" si="0"/>
        <v>70</v>
      </c>
      <c r="E23" s="8" t="str" cm="1">
        <f t="array" ref="E23">GetColorMatchValue(C23, $C$3:$C$10)</f>
        <v>s</v>
      </c>
      <c r="F23" s="88" t="str">
        <f t="shared" si="3"/>
        <v>&lt;tr&gt;&lt;td&gt;1 Set of 1 Rep &lt;/td&gt;&lt;td&gt;70%&lt;/td&gt;&lt;td&gt;${percent(s, 70)}&lt;/td&gt;&lt;/tr&gt;</v>
      </c>
    </row>
    <row r="24" spans="1:6" ht="15" customHeight="1" x14ac:dyDescent="0.25">
      <c r="A24" s="71" t="s">
        <v>98</v>
      </c>
      <c r="B24" s="7">
        <v>0.75</v>
      </c>
      <c r="C24" s="78">
        <f t="shared" si="2"/>
        <v>71.25</v>
      </c>
      <c r="D24" s="8">
        <f t="shared" si="0"/>
        <v>75</v>
      </c>
      <c r="E24" s="8" t="str" cm="1">
        <f t="array" ref="E24">GetColorMatchValue(C24, $C$3:$C$10)</f>
        <v>s</v>
      </c>
      <c r="F24" s="88" t="str">
        <f t="shared" si="3"/>
        <v>&lt;tr&gt;&lt;td&gt;1 Set of 1 Rep &lt;/td&gt;&lt;td&gt;75%&lt;/td&gt;&lt;td&gt;${percent(s, 75)}&lt;/td&gt;&lt;/tr&gt;</v>
      </c>
    </row>
    <row r="25" spans="1:6" ht="15" customHeight="1" x14ac:dyDescent="0.25">
      <c r="A25" s="71" t="s">
        <v>99</v>
      </c>
      <c r="B25" s="7">
        <v>0.8</v>
      </c>
      <c r="C25" s="78">
        <f t="shared" si="2"/>
        <v>76</v>
      </c>
      <c r="D25" s="8">
        <f t="shared" si="0"/>
        <v>80</v>
      </c>
      <c r="E25" s="8" t="str" cm="1">
        <f t="array" ref="E25">GetColorMatchValue(C25, $C$3:$C$10)</f>
        <v>s</v>
      </c>
      <c r="F25" s="88" t="str">
        <f t="shared" si="3"/>
        <v>&lt;tr&gt;&lt;td&gt;5 Sets of 1 Rep &lt;/td&gt;&lt;td&gt;80%&lt;/td&gt;&lt;td&gt;${percent(s, 80)}&lt;/td&gt;&lt;/tr&gt;</v>
      </c>
    </row>
    <row r="26" spans="1:6" ht="15" customHeight="1" x14ac:dyDescent="0.25">
      <c r="A26" s="71"/>
      <c r="B26" s="8"/>
      <c r="C26" s="76"/>
      <c r="D26" s="8" t="str">
        <f t="shared" si="0"/>
        <v/>
      </c>
      <c r="E26" s="8" t="str" cm="1">
        <f t="array" ref="E26">GetColorMatchValue(C26, $C$3:$C$10)</f>
        <v/>
      </c>
      <c r="F26" s="89" t="s">
        <v>193</v>
      </c>
    </row>
    <row r="27" spans="1:6" ht="15" customHeight="1" x14ac:dyDescent="0.25">
      <c r="A27" s="72" t="s">
        <v>2</v>
      </c>
      <c r="B27" s="8"/>
      <c r="C27" s="76"/>
      <c r="D27" s="8" t="str">
        <f t="shared" si="0"/>
        <v/>
      </c>
      <c r="E27" s="8" t="str" cm="1">
        <f t="array" ref="E27">GetColorMatchValue(C27, $C$3:$C$10)</f>
        <v/>
      </c>
      <c r="F27" s="88" t="str">
        <f>"&lt;tr&gt;&lt;th colspan=""3""&gt;"&amp;A27&amp;"&lt;/th&gt;&lt;/tr&gt;"</f>
        <v>&lt;tr&gt;&lt;th colspan="3"&gt;Snatch Pull to Knee + Snatch&lt;/th&gt;&lt;/tr&gt;</v>
      </c>
    </row>
    <row r="28" spans="1:6" ht="15" customHeight="1" x14ac:dyDescent="0.25">
      <c r="A28" s="71" t="s">
        <v>100</v>
      </c>
      <c r="B28" s="7">
        <v>0.6</v>
      </c>
      <c r="C28" s="78">
        <f t="shared" ref="C28:C30" si="4">$B$7*B28</f>
        <v>57</v>
      </c>
      <c r="D28" s="8">
        <f t="shared" si="0"/>
        <v>60</v>
      </c>
      <c r="E28" s="8" t="str" cm="1">
        <f t="array" ref="E28">GetColorMatchValue(C28, $C$3:$C$10)</f>
        <v>s</v>
      </c>
      <c r="F28" s="88" t="str">
        <f t="shared" ref="F28:F30" si="5">"&lt;tr&gt;&lt;td&gt;"&amp;A28&amp;"&lt;/td&gt;&lt;td&gt;"&amp;D28&amp;"%&lt;/td&gt;&lt;td&gt;${percent("&amp;E28&amp;", "&amp;D28&amp;")}&lt;/td&gt;&lt;/tr&gt;"</f>
        <v>&lt;tr&gt;&lt;td&gt;1 Set of 2 Sn.Pu.Kn. + 1 Sn. &lt;/td&gt;&lt;td&gt;60%&lt;/td&gt;&lt;td&gt;${percent(s, 60)}&lt;/td&gt;&lt;/tr&gt;</v>
      </c>
    </row>
    <row r="29" spans="1:6" ht="15" customHeight="1" x14ac:dyDescent="0.25">
      <c r="A29" s="71" t="s">
        <v>100</v>
      </c>
      <c r="B29" s="7">
        <v>0.7</v>
      </c>
      <c r="C29" s="78">
        <f t="shared" si="4"/>
        <v>66.5</v>
      </c>
      <c r="D29" s="8">
        <f t="shared" si="0"/>
        <v>70</v>
      </c>
      <c r="E29" s="8" t="str" cm="1">
        <f t="array" ref="E29">GetColorMatchValue(C29, $C$3:$C$10)</f>
        <v>s</v>
      </c>
      <c r="F29" s="88" t="str">
        <f t="shared" si="5"/>
        <v>&lt;tr&gt;&lt;td&gt;1 Set of 2 Sn.Pu.Kn. + 1 Sn. &lt;/td&gt;&lt;td&gt;70%&lt;/td&gt;&lt;td&gt;${percent(s, 70)}&lt;/td&gt;&lt;/tr&gt;</v>
      </c>
    </row>
    <row r="30" spans="1:6" ht="15" customHeight="1" x14ac:dyDescent="0.25">
      <c r="A30" s="71" t="s">
        <v>101</v>
      </c>
      <c r="B30" s="7">
        <v>0.8</v>
      </c>
      <c r="C30" s="78">
        <f t="shared" si="4"/>
        <v>76</v>
      </c>
      <c r="D30" s="8">
        <f t="shared" si="0"/>
        <v>80</v>
      </c>
      <c r="E30" s="8" t="str" cm="1">
        <f t="array" ref="E30">GetColorMatchValue(C30, $C$3:$C$10)</f>
        <v>s</v>
      </c>
      <c r="F30" s="88" t="str">
        <f t="shared" si="5"/>
        <v>&lt;tr&gt;&lt;td&gt;3 Sets of 2 Sn.Pu.Kn. + 1 Sn. &lt;/td&gt;&lt;td&gt;80%&lt;/td&gt;&lt;td&gt;${percent(s, 80)}&lt;/td&gt;&lt;/tr&gt;</v>
      </c>
    </row>
    <row r="31" spans="1:6" ht="15" customHeight="1" x14ac:dyDescent="0.25">
      <c r="A31" s="71"/>
      <c r="B31" s="8"/>
      <c r="C31" s="76"/>
      <c r="D31" s="8" t="str">
        <f t="shared" si="0"/>
        <v/>
      </c>
      <c r="E31" s="8" t="str" cm="1">
        <f t="array" ref="E31">GetColorMatchValue(C31, $C$3:$C$10)</f>
        <v/>
      </c>
      <c r="F31" s="89" t="s">
        <v>193</v>
      </c>
    </row>
    <row r="32" spans="1:6" ht="15" customHeight="1" x14ac:dyDescent="0.25">
      <c r="A32" s="72" t="s">
        <v>3</v>
      </c>
      <c r="B32" s="8"/>
      <c r="C32" s="76"/>
      <c r="D32" s="8" t="str">
        <f t="shared" si="0"/>
        <v/>
      </c>
      <c r="E32" s="8" t="str" cm="1">
        <f t="array" ref="E32">GetColorMatchValue(C32, $C$3:$C$10)</f>
        <v/>
      </c>
      <c r="F32" s="88" t="str">
        <f>"&lt;tr&gt;&lt;th colspan=""3""&gt;"&amp;A32&amp;"&lt;/th&gt;&lt;/tr&gt;"</f>
        <v>&lt;tr&gt;&lt;th colspan="3"&gt;Snatch Grip Behind the Neck Push Press + Overhead Squat&lt;/th&gt;&lt;/tr&gt;</v>
      </c>
    </row>
    <row r="33" spans="1:12" ht="15" customHeight="1" x14ac:dyDescent="0.25">
      <c r="A33" s="71" t="s">
        <v>102</v>
      </c>
      <c r="B33" s="7">
        <v>0.75</v>
      </c>
      <c r="C33" s="79">
        <f>$B$5*B33</f>
        <v>67.5</v>
      </c>
      <c r="D33" s="8">
        <f t="shared" si="0"/>
        <v>75</v>
      </c>
      <c r="E33" s="8" t="str" cm="1">
        <f t="array" ref="E33">GetColorMatchValue(C33, $C$3:$C$10)</f>
        <v>os</v>
      </c>
      <c r="F33" s="88" t="str">
        <f>"&lt;tr&gt;&lt;td&gt;"&amp;A33&amp;"&lt;/td&gt;&lt;td&gt;"&amp;D33&amp;"%&lt;/td&gt;&lt;td&gt;${percent("&amp;E33&amp;", "&amp;D33&amp;")}&lt;/td&gt;&lt;/tr&gt;"</f>
        <v>&lt;tr&gt;&lt;td&gt;3 Sets of 3 Sn.Gr.Be.Ne.P.Pr. + 2 Oh.Sq. &lt;/td&gt;&lt;td&gt;75%&lt;/td&gt;&lt;td&gt;${percent(os, 75)}&lt;/td&gt;&lt;/tr&gt;</v>
      </c>
    </row>
    <row r="34" spans="1:12" s="95" customFormat="1" ht="15" customHeight="1" x14ac:dyDescent="0.25">
      <c r="A34" s="90" t="s">
        <v>5</v>
      </c>
      <c r="B34" s="74" t="s">
        <v>93</v>
      </c>
      <c r="C34" s="75" t="s">
        <v>94</v>
      </c>
      <c r="D34" s="74" t="s">
        <v>192</v>
      </c>
      <c r="E34" s="75" t="s">
        <v>190</v>
      </c>
      <c r="F34" s="94" t="s">
        <v>191</v>
      </c>
      <c r="H34" s="13"/>
      <c r="I34" s="13"/>
      <c r="K34" s="13"/>
      <c r="L34" s="96"/>
    </row>
    <row r="35" spans="1:12" ht="15" customHeight="1" x14ac:dyDescent="0.25">
      <c r="A35" s="72" t="s">
        <v>0</v>
      </c>
      <c r="B35" s="8"/>
      <c r="C35" s="76"/>
      <c r="D35" s="8" t="str">
        <f t="shared" si="0"/>
        <v/>
      </c>
      <c r="E35" s="8" t="str" cm="1">
        <f t="array" ref="E35">GetColorMatchValue(C35, $C$3:$C$10)</f>
        <v/>
      </c>
      <c r="F35" s="88" t="str">
        <f>"&lt;tr&gt;&lt;th colspan=""3""&gt;"&amp;A35&amp;"&lt;/th&gt;&lt;/tr&gt;"</f>
        <v>&lt;tr&gt;&lt;th colspan="3"&gt;Back Squat&lt;/th&gt;&lt;/tr&gt;</v>
      </c>
      <c r="G35" s="2"/>
      <c r="L35" s="45"/>
    </row>
    <row r="36" spans="1:12" ht="15" customHeight="1" x14ac:dyDescent="0.25">
      <c r="A36" s="71" t="s">
        <v>189</v>
      </c>
      <c r="B36" s="7">
        <v>0.6</v>
      </c>
      <c r="C36" s="77">
        <f>$B$3*B36</f>
        <v>120</v>
      </c>
      <c r="D36" s="8">
        <f t="shared" si="0"/>
        <v>60</v>
      </c>
      <c r="E36" s="8" t="str" cm="1">
        <f t="array" ref="E36">GetColorMatchValue(C36, $C$3:$C$10)</f>
        <v>bs</v>
      </c>
      <c r="F36" s="88" t="str">
        <f>"&lt;tr&gt;&lt;td&gt;"&amp;A36&amp;"&lt;/td&gt;&lt;td&gt;"&amp;D36&amp;"%&lt;/td&gt;&lt;td&gt;${percent("&amp;E36&amp;", "&amp;D36&amp;")}&lt;/td&gt;&lt;/tr&gt;"</f>
        <v>&lt;tr&gt;&lt;td&gt;4 Sets of 10 Reps&lt;/td&gt;&lt;td&gt;60%&lt;/td&gt;&lt;td&gt;${percent(bs, 60)}&lt;/td&gt;&lt;/tr&gt;</v>
      </c>
      <c r="L36" s="45"/>
    </row>
    <row r="37" spans="1:12" ht="15" customHeight="1" x14ac:dyDescent="0.25">
      <c r="A37" s="71"/>
      <c r="B37" s="8"/>
      <c r="C37" s="76"/>
      <c r="D37" s="8" t="str">
        <f t="shared" si="0"/>
        <v/>
      </c>
      <c r="E37" s="8" t="str" cm="1">
        <f t="array" ref="E37">GetColorMatchValue(C37, $C$3:$C$10)</f>
        <v/>
      </c>
      <c r="F37" s="89" t="s">
        <v>193</v>
      </c>
      <c r="G37" s="2"/>
      <c r="L37" s="45"/>
    </row>
    <row r="38" spans="1:12" ht="15" customHeight="1" x14ac:dyDescent="0.25">
      <c r="A38" s="72" t="s">
        <v>20</v>
      </c>
      <c r="B38" s="8"/>
      <c r="C38" s="76"/>
      <c r="D38" s="8" t="str">
        <f t="shared" si="0"/>
        <v/>
      </c>
      <c r="E38" s="8" t="str" cm="1">
        <f t="array" ref="E38">GetColorMatchValue(C38, $C$3:$C$10)</f>
        <v/>
      </c>
      <c r="F38" s="88" t="str">
        <f>"&lt;tr&gt;&lt;th colspan=""3""&gt;"&amp;A38&amp;"&lt;/th&gt;&lt;/tr&gt;"</f>
        <v>&lt;tr&gt;&lt;th colspan="3"&gt;Clean Deadlift&lt;/th&gt;&lt;/tr&gt;</v>
      </c>
      <c r="L38" s="45"/>
    </row>
    <row r="39" spans="1:12" ht="15" customHeight="1" x14ac:dyDescent="0.25">
      <c r="A39" s="71" t="s">
        <v>96</v>
      </c>
      <c r="B39" s="7">
        <v>0.9</v>
      </c>
      <c r="C39" s="80">
        <f>$B$6*B39</f>
        <v>99</v>
      </c>
      <c r="D39" s="8">
        <f t="shared" si="0"/>
        <v>90</v>
      </c>
      <c r="E39" s="8" t="str" cm="1">
        <f t="array" ref="E39">GetColorMatchValue(C39, $C$3:$C$10)</f>
        <v>c</v>
      </c>
      <c r="F39" s="88" t="str">
        <f>"&lt;tr&gt;&lt;td&gt;"&amp;A39&amp;"&lt;/td&gt;&lt;td&gt;"&amp;D39&amp;"%&lt;/td&gt;&lt;td&gt;${percent("&amp;E39&amp;", "&amp;D39&amp;")}&lt;/td&gt;&lt;/tr&gt;"</f>
        <v>&lt;tr&gt;&lt;td&gt;4 Sets of 3 Reps &lt;/td&gt;&lt;td&gt;90%&lt;/td&gt;&lt;td&gt;${percent(c, 90)}&lt;/td&gt;&lt;/tr&gt;</v>
      </c>
      <c r="L39" s="45"/>
    </row>
    <row r="40" spans="1:12" ht="15" customHeight="1" x14ac:dyDescent="0.25">
      <c r="A40" s="71"/>
      <c r="B40" s="8"/>
      <c r="C40" s="76"/>
      <c r="D40" s="8" t="str">
        <f t="shared" si="0"/>
        <v/>
      </c>
      <c r="E40" s="8" t="str" cm="1">
        <f t="array" ref="E40">GetColorMatchValue(C40, $C$3:$C$10)</f>
        <v/>
      </c>
      <c r="F40" s="89" t="s">
        <v>193</v>
      </c>
      <c r="L40" s="45"/>
    </row>
    <row r="41" spans="1:12" ht="15" customHeight="1" x14ac:dyDescent="0.25">
      <c r="A41" s="72" t="s">
        <v>84</v>
      </c>
      <c r="B41" s="8"/>
      <c r="C41" s="76"/>
      <c r="D41" s="8" t="str">
        <f t="shared" si="0"/>
        <v/>
      </c>
      <c r="E41" s="8" t="str" cm="1">
        <f t="array" ref="E41">GetColorMatchValue(C41, $C$3:$C$10)</f>
        <v/>
      </c>
      <c r="F41" s="88" t="str">
        <f>"&lt;tr&gt;&lt;th colspan=""3""&gt;"&amp;A41&amp;"&lt;/th&gt;&lt;/tr&gt;"</f>
        <v>&lt;tr&gt;&lt;th colspan="3"&gt;Power Clean from Blocks Below the Knee &lt;/th&gt;&lt;/tr&gt;</v>
      </c>
      <c r="L41" s="45"/>
    </row>
    <row r="42" spans="1:12" ht="15" customHeight="1" x14ac:dyDescent="0.25">
      <c r="A42" s="71" t="s">
        <v>98</v>
      </c>
      <c r="B42" s="7">
        <v>0.6</v>
      </c>
      <c r="C42" s="80">
        <f t="shared" ref="C42:C43" si="6">$B$6*B42</f>
        <v>66</v>
      </c>
      <c r="D42" s="8">
        <f t="shared" si="0"/>
        <v>60</v>
      </c>
      <c r="E42" s="8" t="str" cm="1">
        <f t="array" ref="E42">GetColorMatchValue(C42, $C$3:$C$10)</f>
        <v>c</v>
      </c>
      <c r="F42" s="88" t="str">
        <f>"&lt;tr&gt;&lt;td&gt;"&amp;A42&amp;"&lt;/td&gt;&lt;td&gt;"&amp;D42&amp;"%&lt;/td&gt;&lt;td&gt;${percent("&amp;E42&amp;", "&amp;D42&amp;")}&lt;/td&gt;&lt;/tr&gt;"</f>
        <v>&lt;tr&gt;&lt;td&gt;1 Set of 1 Rep &lt;/td&gt;&lt;td&gt;60%&lt;/td&gt;&lt;td&gt;${percent(c, 60)}&lt;/td&gt;&lt;/tr&gt;</v>
      </c>
      <c r="L42" s="45"/>
    </row>
    <row r="43" spans="1:12" ht="15" customHeight="1" x14ac:dyDescent="0.25">
      <c r="A43" s="71" t="s">
        <v>99</v>
      </c>
      <c r="B43" s="7">
        <v>0.7</v>
      </c>
      <c r="C43" s="80">
        <f t="shared" si="6"/>
        <v>77</v>
      </c>
      <c r="D43" s="8">
        <f t="shared" si="0"/>
        <v>70</v>
      </c>
      <c r="E43" s="8" t="str" cm="1">
        <f t="array" ref="E43">GetColorMatchValue(C43, $C$3:$C$10)</f>
        <v>c</v>
      </c>
      <c r="F43" s="88" t="str">
        <f>"&lt;tr&gt;&lt;td&gt;"&amp;A43&amp;"&lt;/td&gt;&lt;td&gt;"&amp;D43&amp;"%&lt;/td&gt;&lt;td&gt;${percent("&amp;E43&amp;", "&amp;D43&amp;")}&lt;/td&gt;&lt;/tr&gt;"</f>
        <v>&lt;tr&gt;&lt;td&gt;5 Sets of 1 Rep &lt;/td&gt;&lt;td&gt;70%&lt;/td&gt;&lt;td&gt;${percent(c, 70)}&lt;/td&gt;&lt;/tr&gt;</v>
      </c>
      <c r="L43" s="45"/>
    </row>
    <row r="44" spans="1:12" ht="15" customHeight="1" x14ac:dyDescent="0.25">
      <c r="A44" s="71"/>
      <c r="B44" s="8"/>
      <c r="C44" s="76"/>
      <c r="D44" s="8" t="str">
        <f t="shared" si="0"/>
        <v/>
      </c>
      <c r="E44" s="8" t="str" cm="1">
        <f t="array" ref="E44">GetColorMatchValue(C44, $C$3:$C$10)</f>
        <v/>
      </c>
      <c r="F44" s="89" t="s">
        <v>193</v>
      </c>
      <c r="L44" s="45"/>
    </row>
    <row r="45" spans="1:12" ht="15" customHeight="1" x14ac:dyDescent="0.25">
      <c r="A45" s="72" t="s">
        <v>21</v>
      </c>
      <c r="B45" s="8"/>
      <c r="C45" s="76"/>
      <c r="D45" s="8" t="str">
        <f t="shared" si="0"/>
        <v/>
      </c>
      <c r="E45" s="8" t="str" cm="1">
        <f t="array" ref="E45">GetColorMatchValue(C45, $C$3:$C$10)</f>
        <v/>
      </c>
      <c r="F45" s="88" t="str">
        <f>"&lt;tr&gt;&lt;th colspan=""3""&gt;"&amp;A45&amp;"&lt;/th&gt;&lt;/tr&gt;"</f>
        <v>&lt;tr&gt;&lt;th colspan="3"&gt;Clean Pull to Knee + Clean&lt;/th&gt;&lt;/tr&gt;</v>
      </c>
      <c r="L45" s="45"/>
    </row>
    <row r="46" spans="1:12" ht="15" customHeight="1" x14ac:dyDescent="0.25">
      <c r="A46" s="71" t="s">
        <v>132</v>
      </c>
      <c r="B46" s="7">
        <v>0.6</v>
      </c>
      <c r="C46" s="80">
        <f t="shared" ref="C46:C47" si="7">$B$6*B46</f>
        <v>66</v>
      </c>
      <c r="D46" s="8">
        <f t="shared" si="0"/>
        <v>60</v>
      </c>
      <c r="E46" s="8" t="str" cm="1">
        <f t="array" ref="E46">GetColorMatchValue(C46, $C$3:$C$10)</f>
        <v>c</v>
      </c>
      <c r="F46" s="88" t="str">
        <f>"&lt;tr&gt;&lt;td&gt;"&amp;A46&amp;"&lt;/td&gt;&lt;td&gt;"&amp;D46&amp;"%&lt;/td&gt;&lt;td&gt;${percent("&amp;E46&amp;", "&amp;D46&amp;")}&lt;/td&gt;&lt;/tr&gt;"</f>
        <v>&lt;tr&gt;&lt;td&gt;1 Set of 2 Cl.Pu.Kn. + 1 Cl. &lt;/td&gt;&lt;td&gt;60%&lt;/td&gt;&lt;td&gt;${percent(c, 60)}&lt;/td&gt;&lt;/tr&gt;</v>
      </c>
      <c r="L46" s="45"/>
    </row>
    <row r="47" spans="1:12" ht="15" customHeight="1" x14ac:dyDescent="0.25">
      <c r="A47" s="71" t="s">
        <v>133</v>
      </c>
      <c r="B47" s="7">
        <v>0.7</v>
      </c>
      <c r="C47" s="80">
        <f t="shared" si="7"/>
        <v>77</v>
      </c>
      <c r="D47" s="8">
        <f t="shared" si="0"/>
        <v>70</v>
      </c>
      <c r="E47" s="8" t="str" cm="1">
        <f t="array" ref="E47">GetColorMatchValue(C47, $C$3:$C$10)</f>
        <v>c</v>
      </c>
      <c r="F47" s="88" t="str">
        <f>"&lt;tr&gt;&lt;td&gt;"&amp;A47&amp;"&lt;/td&gt;&lt;td&gt;"&amp;D47&amp;"%&lt;/td&gt;&lt;td&gt;${percent("&amp;E47&amp;", "&amp;D47&amp;")}&lt;/td&gt;&lt;/tr&gt;"</f>
        <v>&lt;tr&gt;&lt;td&gt;4 Sets of 2 Cl.Pu.Kn. + 1 Cl. &lt;/td&gt;&lt;td&gt;70%&lt;/td&gt;&lt;td&gt;${percent(c, 70)}&lt;/td&gt;&lt;/tr&gt;</v>
      </c>
      <c r="L47" s="45"/>
    </row>
    <row r="48" spans="1:12" ht="15" customHeight="1" x14ac:dyDescent="0.25">
      <c r="A48" s="71"/>
      <c r="B48" s="8"/>
      <c r="C48" s="76"/>
      <c r="D48" s="8" t="str">
        <f t="shared" si="0"/>
        <v/>
      </c>
      <c r="E48" s="8" t="str" cm="1">
        <f t="array" ref="E48">GetColorMatchValue(C48, $C$3:$C$10)</f>
        <v/>
      </c>
      <c r="F48" s="89" t="s">
        <v>193</v>
      </c>
      <c r="L48" s="45"/>
    </row>
    <row r="49" spans="1:12" ht="15" customHeight="1" x14ac:dyDescent="0.25">
      <c r="A49" s="72" t="s">
        <v>22</v>
      </c>
      <c r="B49" s="8"/>
      <c r="C49" s="76"/>
      <c r="D49" s="8" t="str">
        <f t="shared" si="0"/>
        <v/>
      </c>
      <c r="E49" s="8" t="str" cm="1">
        <f t="array" ref="E49">GetColorMatchValue(C49, $C$3:$C$10)</f>
        <v/>
      </c>
      <c r="F49" s="88" t="str">
        <f>"&lt;tr&gt;&lt;th colspan=""3""&gt;"&amp;A49&amp;"&lt;/th&gt;&lt;/tr&gt;"</f>
        <v>&lt;tr&gt;&lt;th colspan="3"&gt;Behind the Neck Push Press + Behind the Neck Push Jerk&lt;/th&gt;&lt;/tr&gt;</v>
      </c>
      <c r="L49" s="45"/>
    </row>
    <row r="50" spans="1:12" ht="15" customHeight="1" x14ac:dyDescent="0.25">
      <c r="A50" s="71" t="s">
        <v>134</v>
      </c>
      <c r="B50" s="7">
        <v>0.75</v>
      </c>
      <c r="C50" s="81">
        <f>$B$10*B50</f>
        <v>60</v>
      </c>
      <c r="D50" s="8">
        <f t="shared" si="0"/>
        <v>75</v>
      </c>
      <c r="E50" s="8" t="str" cm="1">
        <f t="array" ref="E50">GetColorMatchValue(C50, $C$3:$C$10)</f>
        <v>pp</v>
      </c>
      <c r="F50" s="88" t="str">
        <f>"&lt;tr&gt;&lt;td&gt;"&amp;A50&amp;"&lt;/td&gt;&lt;td&gt;"&amp;D50&amp;"%&lt;/td&gt;&lt;td&gt;${percent("&amp;E50&amp;", "&amp;D50&amp;")}&lt;/td&gt;&lt;/tr&gt;"</f>
        <v>&lt;tr&gt;&lt;td&gt;3 Sets of 3 Be.N.P.Pr. + 3 Be.N.P.Jr. &lt;/td&gt;&lt;td&gt;75%&lt;/td&gt;&lt;td&gt;${percent(pp, 75)}&lt;/td&gt;&lt;/tr&gt;</v>
      </c>
      <c r="L50" s="45"/>
    </row>
    <row r="51" spans="1:12" s="95" customFormat="1" ht="15" customHeight="1" x14ac:dyDescent="0.25">
      <c r="A51" s="90" t="s">
        <v>6</v>
      </c>
      <c r="B51" s="74" t="s">
        <v>93</v>
      </c>
      <c r="C51" s="75" t="s">
        <v>94</v>
      </c>
      <c r="D51" s="74" t="s">
        <v>192</v>
      </c>
      <c r="E51" s="75" t="s">
        <v>190</v>
      </c>
      <c r="F51" s="94" t="s">
        <v>191</v>
      </c>
      <c r="H51" s="13"/>
      <c r="I51" s="96"/>
      <c r="K51" s="13"/>
      <c r="L51" s="96"/>
    </row>
    <row r="52" spans="1:12" ht="15" customHeight="1" x14ac:dyDescent="0.25">
      <c r="A52" s="72" t="s">
        <v>0</v>
      </c>
      <c r="B52" s="8"/>
      <c r="C52" s="76"/>
      <c r="D52" s="8" t="str">
        <f t="shared" si="0"/>
        <v/>
      </c>
      <c r="E52" s="8" t="str" cm="1">
        <f t="array" ref="E52">GetColorMatchValue(C52, $C$3:$C$10)</f>
        <v/>
      </c>
      <c r="F52" s="88" t="str">
        <f>"&lt;tr&gt;&lt;th colspan=""3""&gt;"&amp;A52&amp;"&lt;/th&gt;&lt;/tr&gt;"</f>
        <v>&lt;tr&gt;&lt;th colspan="3"&gt;Back Squat&lt;/th&gt;&lt;/tr&gt;</v>
      </c>
      <c r="I52" s="45"/>
      <c r="L52" s="45"/>
    </row>
    <row r="53" spans="1:12" ht="15" customHeight="1" x14ac:dyDescent="0.25">
      <c r="A53" s="71" t="s">
        <v>103</v>
      </c>
      <c r="B53" s="7">
        <v>0.6</v>
      </c>
      <c r="C53" s="77">
        <f>$B$3*B53</f>
        <v>120</v>
      </c>
      <c r="D53" s="8">
        <f t="shared" si="0"/>
        <v>60</v>
      </c>
      <c r="E53" s="8" t="str" cm="1">
        <f t="array" ref="E53">GetColorMatchValue(C53, $C$3:$C$10)</f>
        <v>bs</v>
      </c>
      <c r="F53" s="88" t="str">
        <f t="shared" ref="F53:F54" si="8">"&lt;tr&gt;&lt;td&gt;"&amp;A53&amp;"&lt;/td&gt;&lt;td&gt;"&amp;D53&amp;"%&lt;/td&gt;&lt;td&gt;${percent("&amp;E53&amp;", "&amp;D53&amp;")}&lt;/td&gt;&lt;/tr&gt;"</f>
        <v>&lt;tr&gt;&lt;td&gt;1 Set of 5 Reps &lt;/td&gt;&lt;td&gt;60%&lt;/td&gt;&lt;td&gt;${percent(bs, 60)}&lt;/td&gt;&lt;/tr&gt;</v>
      </c>
      <c r="I53" s="45"/>
      <c r="L53" s="45"/>
    </row>
    <row r="54" spans="1:12" ht="15" customHeight="1" x14ac:dyDescent="0.25">
      <c r="A54" s="71" t="s">
        <v>149</v>
      </c>
      <c r="B54" s="7">
        <v>0.7</v>
      </c>
      <c r="C54" s="77">
        <f>$B$3*B54</f>
        <v>140</v>
      </c>
      <c r="D54" s="8">
        <f t="shared" si="0"/>
        <v>70</v>
      </c>
      <c r="E54" s="8" t="str" cm="1">
        <f t="array" ref="E54">GetColorMatchValue(C54, $C$3:$C$10)</f>
        <v>bs</v>
      </c>
      <c r="F54" s="88" t="str">
        <f t="shared" si="8"/>
        <v>&lt;tr&gt;&lt;td&gt;4 Sets of 5 Reps &lt;/td&gt;&lt;td&gt;70%&lt;/td&gt;&lt;td&gt;${percent(bs, 70)}&lt;/td&gt;&lt;/tr&gt;</v>
      </c>
      <c r="I54" s="45"/>
      <c r="L54" s="45"/>
    </row>
    <row r="55" spans="1:12" ht="15" customHeight="1" x14ac:dyDescent="0.25">
      <c r="A55" s="71"/>
      <c r="B55" s="8"/>
      <c r="C55" s="76"/>
      <c r="D55" s="8" t="str">
        <f t="shared" si="0"/>
        <v/>
      </c>
      <c r="E55" s="8" t="str" cm="1">
        <f t="array" ref="E55">GetColorMatchValue(C55, $C$3:$C$10)</f>
        <v/>
      </c>
      <c r="F55" s="89" t="s">
        <v>193</v>
      </c>
      <c r="I55" s="45"/>
      <c r="L55" s="45"/>
    </row>
    <row r="56" spans="1:12" ht="15" customHeight="1" x14ac:dyDescent="0.25">
      <c r="A56" s="72" t="s">
        <v>82</v>
      </c>
      <c r="B56" s="8"/>
      <c r="C56" s="76"/>
      <c r="D56" s="8" t="str">
        <f t="shared" si="0"/>
        <v/>
      </c>
      <c r="E56" s="8" t="str" cm="1">
        <f t="array" ref="E56">GetColorMatchValue(C56, $C$3:$C$10)</f>
        <v/>
      </c>
      <c r="F56" s="88" t="str">
        <f>"&lt;tr&gt;&lt;th colspan=""3""&gt;"&amp;A56&amp;"&lt;/th&gt;&lt;/tr&gt;"</f>
        <v>&lt;tr&gt;&lt;th colspan="3"&gt;Snatch Deadlift &lt;/th&gt;&lt;/tr&gt;</v>
      </c>
      <c r="I56" s="45"/>
      <c r="L56" s="45"/>
    </row>
    <row r="57" spans="1:12" ht="15" customHeight="1" x14ac:dyDescent="0.25">
      <c r="A57" s="71" t="s">
        <v>97</v>
      </c>
      <c r="B57" s="7">
        <v>0.95</v>
      </c>
      <c r="C57" s="78">
        <f>$B$7*B57</f>
        <v>90.25</v>
      </c>
      <c r="D57" s="8">
        <f t="shared" si="0"/>
        <v>95</v>
      </c>
      <c r="E57" s="8" t="str" cm="1">
        <f t="array" ref="E57">GetColorMatchValue(C57, $C$3:$C$10)</f>
        <v>s</v>
      </c>
      <c r="F57" s="88" t="str">
        <f>"&lt;tr&gt;&lt;td&gt;"&amp;A57&amp;"&lt;/td&gt;&lt;td&gt;"&amp;D57&amp;"%&lt;/td&gt;&lt;td&gt;${percent("&amp;E57&amp;", "&amp;D57&amp;")}&lt;/td&gt;&lt;/tr&gt;"</f>
        <v>&lt;tr&gt;&lt;td&gt;3 Sets of 2 Reps &lt;/td&gt;&lt;td&gt;95%&lt;/td&gt;&lt;td&gt;${percent(s, 95)}&lt;/td&gt;&lt;/tr&gt;</v>
      </c>
      <c r="I57" s="45"/>
      <c r="L57" s="45"/>
    </row>
    <row r="58" spans="1:12" ht="15" customHeight="1" x14ac:dyDescent="0.25">
      <c r="A58" s="71"/>
      <c r="B58" s="8"/>
      <c r="C58" s="76"/>
      <c r="D58" s="8" t="str">
        <f t="shared" si="0"/>
        <v/>
      </c>
      <c r="E58" s="8" t="str" cm="1">
        <f t="array" ref="E58">GetColorMatchValue(C58, $C$3:$C$10)</f>
        <v/>
      </c>
      <c r="F58" s="89" t="s">
        <v>193</v>
      </c>
      <c r="I58" s="45"/>
      <c r="L58" s="45"/>
    </row>
    <row r="59" spans="1:12" ht="15" customHeight="1" x14ac:dyDescent="0.25">
      <c r="A59" s="72" t="s">
        <v>85</v>
      </c>
      <c r="B59" s="8"/>
      <c r="C59" s="76"/>
      <c r="D59" s="8" t="str">
        <f t="shared" si="0"/>
        <v/>
      </c>
      <c r="E59" s="8" t="str" cm="1">
        <f t="array" ref="E59">GetColorMatchValue(C59, $C$3:$C$10)</f>
        <v/>
      </c>
      <c r="F59" s="88" t="str">
        <f>"&lt;tr&gt;&lt;th colspan=""3""&gt;"&amp;A59&amp;"&lt;/th&gt;&lt;/tr&gt;"</f>
        <v>&lt;tr&gt;&lt;th colspan="3"&gt;Power Snatch from Blocks Below the Knee &lt;/th&gt;&lt;/tr&gt;</v>
      </c>
      <c r="I59" s="45"/>
      <c r="L59" s="45"/>
    </row>
    <row r="60" spans="1:12" ht="15" customHeight="1" x14ac:dyDescent="0.25">
      <c r="A60" s="71" t="s">
        <v>98</v>
      </c>
      <c r="B60" s="7">
        <v>0.6</v>
      </c>
      <c r="C60" s="78">
        <f t="shared" ref="C60:C61" si="9">$B$7*B60</f>
        <v>57</v>
      </c>
      <c r="D60" s="8">
        <f t="shared" si="0"/>
        <v>60</v>
      </c>
      <c r="E60" s="8" t="str" cm="1">
        <f t="array" ref="E60">GetColorMatchValue(C60, $C$3:$C$10)</f>
        <v>s</v>
      </c>
      <c r="F60" s="88" t="str">
        <f t="shared" ref="F60:F61" si="10">"&lt;tr&gt;&lt;td&gt;"&amp;A60&amp;"&lt;/td&gt;&lt;td&gt;"&amp;D60&amp;"%&lt;/td&gt;&lt;td&gt;${percent("&amp;E60&amp;", "&amp;D60&amp;")}&lt;/td&gt;&lt;/tr&gt;"</f>
        <v>&lt;tr&gt;&lt;td&gt;1 Set of 1 Rep &lt;/td&gt;&lt;td&gt;60%&lt;/td&gt;&lt;td&gt;${percent(s, 60)}&lt;/td&gt;&lt;/tr&gt;</v>
      </c>
      <c r="I60" s="45"/>
      <c r="L60" s="45"/>
    </row>
    <row r="61" spans="1:12" ht="15" customHeight="1" x14ac:dyDescent="0.25">
      <c r="A61" s="71" t="s">
        <v>99</v>
      </c>
      <c r="B61" s="7">
        <v>0.7</v>
      </c>
      <c r="C61" s="78">
        <f t="shared" si="9"/>
        <v>66.5</v>
      </c>
      <c r="D61" s="8">
        <f t="shared" si="0"/>
        <v>70</v>
      </c>
      <c r="E61" s="8" t="str" cm="1">
        <f t="array" ref="E61">GetColorMatchValue(C61, $C$3:$C$10)</f>
        <v>s</v>
      </c>
      <c r="F61" s="88" t="str">
        <f t="shared" si="10"/>
        <v>&lt;tr&gt;&lt;td&gt;5 Sets of 1 Rep &lt;/td&gt;&lt;td&gt;70%&lt;/td&gt;&lt;td&gt;${percent(s, 70)}&lt;/td&gt;&lt;/tr&gt;</v>
      </c>
      <c r="I61" s="45"/>
      <c r="L61" s="45"/>
    </row>
    <row r="62" spans="1:12" ht="15" customHeight="1" x14ac:dyDescent="0.25">
      <c r="A62" s="71"/>
      <c r="B62" s="8"/>
      <c r="C62" s="76"/>
      <c r="D62" s="8" t="str">
        <f t="shared" si="0"/>
        <v/>
      </c>
      <c r="E62" s="8" t="str" cm="1">
        <f t="array" ref="E62">GetColorMatchValue(C62, $C$3:$C$10)</f>
        <v/>
      </c>
      <c r="F62" s="89" t="s">
        <v>193</v>
      </c>
      <c r="I62" s="45"/>
      <c r="L62" s="45"/>
    </row>
    <row r="63" spans="1:12" ht="15" customHeight="1" x14ac:dyDescent="0.25">
      <c r="A63" s="72" t="s">
        <v>2</v>
      </c>
      <c r="B63" s="8"/>
      <c r="C63" s="76"/>
      <c r="D63" s="8" t="str">
        <f t="shared" si="0"/>
        <v/>
      </c>
      <c r="E63" s="8" t="str" cm="1">
        <f t="array" ref="E63">GetColorMatchValue(C63, $C$3:$C$10)</f>
        <v/>
      </c>
      <c r="F63" s="88" t="str">
        <f>"&lt;tr&gt;&lt;th colspan=""3""&gt;"&amp;A63&amp;"&lt;/th&gt;&lt;/tr&gt;"</f>
        <v>&lt;tr&gt;&lt;th colspan="3"&gt;Snatch Pull to Knee + Snatch&lt;/th&gt;&lt;/tr&gt;</v>
      </c>
      <c r="I63" s="45"/>
      <c r="L63" s="45"/>
    </row>
    <row r="64" spans="1:12" ht="15" customHeight="1" x14ac:dyDescent="0.25">
      <c r="A64" s="71" t="s">
        <v>100</v>
      </c>
      <c r="B64" s="7">
        <v>0.6</v>
      </c>
      <c r="C64" s="78">
        <f t="shared" ref="C64:C65" si="11">$B$7*B64</f>
        <v>57</v>
      </c>
      <c r="D64" s="8">
        <f t="shared" si="0"/>
        <v>60</v>
      </c>
      <c r="E64" s="8" t="str" cm="1">
        <f t="array" ref="E64">GetColorMatchValue(C64, $C$3:$C$10)</f>
        <v>s</v>
      </c>
      <c r="F64" s="88" t="str">
        <f t="shared" ref="F64:F65" si="12">"&lt;tr&gt;&lt;td&gt;"&amp;A64&amp;"&lt;/td&gt;&lt;td&gt;"&amp;D64&amp;"%&lt;/td&gt;&lt;td&gt;${percent("&amp;E64&amp;", "&amp;D64&amp;")}&lt;/td&gt;&lt;/tr&gt;"</f>
        <v>&lt;tr&gt;&lt;td&gt;1 Set of 2 Sn.Pu.Kn. + 1 Sn. &lt;/td&gt;&lt;td&gt;60%&lt;/td&gt;&lt;td&gt;${percent(s, 60)}&lt;/td&gt;&lt;/tr&gt;</v>
      </c>
      <c r="I64" s="45"/>
      <c r="L64" s="45"/>
    </row>
    <row r="65" spans="1:12" ht="15" customHeight="1" x14ac:dyDescent="0.25">
      <c r="A65" s="71" t="s">
        <v>150</v>
      </c>
      <c r="B65" s="7">
        <v>0.7</v>
      </c>
      <c r="C65" s="78">
        <f t="shared" si="11"/>
        <v>66.5</v>
      </c>
      <c r="D65" s="8">
        <f t="shared" si="0"/>
        <v>70</v>
      </c>
      <c r="E65" s="8" t="str" cm="1">
        <f t="array" ref="E65">GetColorMatchValue(C65, $C$3:$C$10)</f>
        <v>s</v>
      </c>
      <c r="F65" s="88" t="str">
        <f t="shared" si="12"/>
        <v>&lt;tr&gt;&lt;td&gt;4 Sets of 2 Sn.Pu.Kn. + 1 Sn. &lt;/td&gt;&lt;td&gt;70%&lt;/td&gt;&lt;td&gt;${percent(s, 70)}&lt;/td&gt;&lt;/tr&gt;</v>
      </c>
      <c r="I65" s="45"/>
      <c r="L65" s="45"/>
    </row>
    <row r="66" spans="1:12" ht="15" customHeight="1" x14ac:dyDescent="0.25">
      <c r="A66" s="71"/>
      <c r="B66" s="8"/>
      <c r="C66" s="76"/>
      <c r="D66" s="8" t="str">
        <f t="shared" si="0"/>
        <v/>
      </c>
      <c r="E66" s="8" t="str" cm="1">
        <f t="array" ref="E66">GetColorMatchValue(C66, $C$3:$C$10)</f>
        <v/>
      </c>
      <c r="F66" s="89" t="s">
        <v>193</v>
      </c>
      <c r="I66" s="45"/>
      <c r="L66" s="45"/>
    </row>
    <row r="67" spans="1:12" ht="15" customHeight="1" x14ac:dyDescent="0.25">
      <c r="A67" s="72" t="s">
        <v>3</v>
      </c>
      <c r="B67" s="8"/>
      <c r="C67" s="76"/>
      <c r="D67" s="8" t="str">
        <f t="shared" si="0"/>
        <v/>
      </c>
      <c r="E67" s="8" t="str" cm="1">
        <f t="array" ref="E67">GetColorMatchValue(C67, $C$3:$C$10)</f>
        <v/>
      </c>
      <c r="F67" s="88" t="str">
        <f>"&lt;tr&gt;&lt;th colspan=""3""&gt;"&amp;A67&amp;"&lt;/th&gt;&lt;/tr&gt;"</f>
        <v>&lt;tr&gt;&lt;th colspan="3"&gt;Snatch Grip Behind the Neck Push Press + Overhead Squat&lt;/th&gt;&lt;/tr&gt;</v>
      </c>
      <c r="I67" s="45"/>
      <c r="L67" s="45"/>
    </row>
    <row r="68" spans="1:12" ht="15" customHeight="1" x14ac:dyDescent="0.25">
      <c r="A68" s="71" t="s">
        <v>151</v>
      </c>
      <c r="B68" s="7">
        <v>0.75</v>
      </c>
      <c r="C68" s="79">
        <f>$B$5*B68</f>
        <v>67.5</v>
      </c>
      <c r="D68" s="8">
        <f t="shared" si="0"/>
        <v>75</v>
      </c>
      <c r="E68" s="8" t="str" cm="1">
        <f t="array" ref="E68">GetColorMatchValue(C68, $C$3:$C$10)</f>
        <v>os</v>
      </c>
      <c r="F68" s="88" t="str">
        <f>"&lt;tr&gt;&lt;td&gt;"&amp;A68&amp;"&lt;/td&gt;&lt;td&gt;"&amp;D68&amp;"%&lt;/td&gt;&lt;td&gt;${percent("&amp;E68&amp;", "&amp;D68&amp;")}&lt;/td&gt;&lt;/tr&gt;"</f>
        <v>&lt;tr&gt;&lt;td&gt;3 Sets of 3 Sn.Gr.Be.N.P.Pr. + 3 Oh.S. &lt;/td&gt;&lt;td&gt;75%&lt;/td&gt;&lt;td&gt;${percent(os, 75)}&lt;/td&gt;&lt;/tr&gt;</v>
      </c>
      <c r="I68" s="45"/>
      <c r="L68" s="45"/>
    </row>
    <row r="69" spans="1:12" s="95" customFormat="1" ht="15" customHeight="1" x14ac:dyDescent="0.25">
      <c r="A69" s="90" t="s">
        <v>7</v>
      </c>
      <c r="B69" s="74" t="s">
        <v>93</v>
      </c>
      <c r="C69" s="75" t="s">
        <v>94</v>
      </c>
      <c r="D69" s="74" t="s">
        <v>192</v>
      </c>
      <c r="E69" s="75" t="s">
        <v>190</v>
      </c>
      <c r="F69" s="94" t="s">
        <v>191</v>
      </c>
      <c r="H69" s="13"/>
      <c r="I69" s="96"/>
      <c r="K69" s="13"/>
      <c r="L69" s="96"/>
    </row>
    <row r="70" spans="1:12" ht="15" customHeight="1" x14ac:dyDescent="0.25">
      <c r="A70" s="72" t="s">
        <v>0</v>
      </c>
      <c r="B70" s="8"/>
      <c r="C70" s="76"/>
      <c r="D70" s="8" t="str">
        <f t="shared" si="0"/>
        <v/>
      </c>
      <c r="E70" s="8" t="str" cm="1">
        <f t="array" ref="E70">GetColorMatchValue(C70, $C$3:$C$10)</f>
        <v/>
      </c>
      <c r="F70" s="88" t="str">
        <f>"&lt;tr&gt;&lt;th colspan=""3""&gt;"&amp;A70&amp;"&lt;/th&gt;&lt;/tr&gt;"</f>
        <v>&lt;tr&gt;&lt;th colspan="3"&gt;Back Squat&lt;/th&gt;&lt;/tr&gt;</v>
      </c>
      <c r="I70" s="45"/>
      <c r="L70" s="45"/>
    </row>
    <row r="71" spans="1:12" ht="15" customHeight="1" x14ac:dyDescent="0.25">
      <c r="A71" s="71" t="s">
        <v>162</v>
      </c>
      <c r="B71" s="7">
        <v>0.6</v>
      </c>
      <c r="C71" s="77">
        <f>B3*B71</f>
        <v>120</v>
      </c>
      <c r="D71" s="8">
        <f t="shared" si="0"/>
        <v>60</v>
      </c>
      <c r="E71" s="8" t="str" cm="1">
        <f t="array" ref="E71">GetColorMatchValue(C71, $C$3:$C$10)</f>
        <v>bs</v>
      </c>
      <c r="F71" s="88" t="str">
        <f>"&lt;tr&gt;&lt;td&gt;"&amp;A71&amp;"&lt;/td&gt;&lt;td&gt;"&amp;D71&amp;"%&lt;/td&gt;&lt;td&gt;${percent("&amp;E71&amp;", "&amp;D71&amp;")}&lt;/td&gt;&lt;/tr&gt;"</f>
        <v>&lt;tr&gt;&lt;td&gt;3 Sets of 10 Reps &lt;/td&gt;&lt;td&gt;60%&lt;/td&gt;&lt;td&gt;${percent(bs, 60)}&lt;/td&gt;&lt;/tr&gt;</v>
      </c>
      <c r="I71" s="45"/>
      <c r="L71" s="45"/>
    </row>
    <row r="72" spans="1:12" ht="15" customHeight="1" x14ac:dyDescent="0.25">
      <c r="A72" s="71"/>
      <c r="B72" s="8"/>
      <c r="C72" s="76"/>
      <c r="D72" s="8" t="str">
        <f t="shared" si="0"/>
        <v/>
      </c>
      <c r="E72" s="8" t="str" cm="1">
        <f t="array" ref="E72">GetColorMatchValue(C72, $C$3:$C$10)</f>
        <v/>
      </c>
      <c r="F72" s="89" t="s">
        <v>193</v>
      </c>
      <c r="I72" s="45"/>
      <c r="L72" s="45"/>
    </row>
    <row r="73" spans="1:12" ht="15" customHeight="1" x14ac:dyDescent="0.25">
      <c r="A73" s="72" t="s">
        <v>20</v>
      </c>
      <c r="B73" s="8"/>
      <c r="C73" s="76"/>
      <c r="D73" s="8" t="str">
        <f t="shared" si="0"/>
        <v/>
      </c>
      <c r="E73" s="8" t="str" cm="1">
        <f t="array" ref="E73">GetColorMatchValue(C73, $C$3:$C$10)</f>
        <v/>
      </c>
      <c r="F73" s="88" t="str">
        <f>"&lt;tr&gt;&lt;th colspan=""3""&gt;"&amp;A73&amp;"&lt;/th&gt;&lt;/tr&gt;"</f>
        <v>&lt;tr&gt;&lt;th colspan="3"&gt;Clean Deadlift&lt;/th&gt;&lt;/tr&gt;</v>
      </c>
      <c r="I73" s="45"/>
      <c r="L73" s="45"/>
    </row>
    <row r="74" spans="1:12" ht="15" customHeight="1" x14ac:dyDescent="0.25">
      <c r="A74" s="71" t="s">
        <v>135</v>
      </c>
      <c r="B74" s="7">
        <v>0.9</v>
      </c>
      <c r="C74" s="80">
        <f>$B$6*B74</f>
        <v>99</v>
      </c>
      <c r="D74" s="8">
        <f t="shared" si="0"/>
        <v>90</v>
      </c>
      <c r="E74" s="8" t="str" cm="1">
        <f t="array" ref="E74">GetColorMatchValue(C74, $C$3:$C$10)</f>
        <v>c</v>
      </c>
      <c r="F74" s="88" t="str">
        <f>"&lt;tr&gt;&lt;td&gt;"&amp;A74&amp;"&lt;/td&gt;&lt;td&gt;"&amp;D74&amp;"%&lt;/td&gt;&lt;td&gt;${percent("&amp;E74&amp;", "&amp;D74&amp;")}&lt;/td&gt;&lt;/tr&gt;"</f>
        <v>&lt;tr&gt;&lt;td&gt;5 Sets of 3 Reps &lt;/td&gt;&lt;td&gt;90%&lt;/td&gt;&lt;td&gt;${percent(c, 90)}&lt;/td&gt;&lt;/tr&gt;</v>
      </c>
      <c r="I74" s="45"/>
      <c r="L74" s="45"/>
    </row>
    <row r="75" spans="1:12" ht="15" customHeight="1" x14ac:dyDescent="0.25">
      <c r="A75" s="71"/>
      <c r="B75" s="8"/>
      <c r="C75" s="76"/>
      <c r="D75" s="8" t="str">
        <f t="shared" si="0"/>
        <v/>
      </c>
      <c r="E75" s="8" t="str" cm="1">
        <f t="array" ref="E75">GetColorMatchValue(C75, $C$3:$C$10)</f>
        <v/>
      </c>
      <c r="F75" s="89" t="s">
        <v>193</v>
      </c>
      <c r="I75" s="45"/>
      <c r="L75" s="45"/>
    </row>
    <row r="76" spans="1:12" ht="15" customHeight="1" x14ac:dyDescent="0.25">
      <c r="A76" s="72" t="s">
        <v>23</v>
      </c>
      <c r="B76" s="8"/>
      <c r="C76" s="76"/>
      <c r="D76" s="8" t="str">
        <f t="shared" si="0"/>
        <v/>
      </c>
      <c r="E76" s="8" t="str" cm="1">
        <f t="array" ref="E76">GetColorMatchValue(C76, $C$3:$C$10)</f>
        <v/>
      </c>
      <c r="F76" s="88" t="str">
        <f>"&lt;tr&gt;&lt;th colspan=""3""&gt;"&amp;A76&amp;"&lt;/th&gt;&lt;/tr&gt;"</f>
        <v>&lt;tr&gt;&lt;th colspan="3"&gt;Push Press&lt;/th&gt;&lt;/tr&gt;</v>
      </c>
      <c r="I76" s="45"/>
      <c r="L76" s="45"/>
    </row>
    <row r="77" spans="1:12" ht="15" customHeight="1" x14ac:dyDescent="0.25">
      <c r="A77" s="71" t="s">
        <v>104</v>
      </c>
      <c r="B77" s="7">
        <v>0.6</v>
      </c>
      <c r="C77" s="81">
        <f>$B$10*B77</f>
        <v>48</v>
      </c>
      <c r="D77" s="8">
        <f t="shared" si="0"/>
        <v>60</v>
      </c>
      <c r="E77" s="8" t="str" cm="1">
        <f t="array" ref="E77">GetColorMatchValue(C77, $C$3:$C$10)</f>
        <v>pp</v>
      </c>
      <c r="F77" s="88" t="str">
        <f>"&lt;tr&gt;&lt;td&gt;"&amp;A77&amp;"&lt;/td&gt;&lt;td&gt;"&amp;D77&amp;"%&lt;/td&gt;&lt;td&gt;${percent("&amp;E77&amp;", "&amp;D77&amp;")}&lt;/td&gt;&lt;/tr&gt;"</f>
        <v>&lt;tr&gt;&lt;td&gt;4 Sets of 4 Reps &lt;/td&gt;&lt;td&gt;60%&lt;/td&gt;&lt;td&gt;${percent(pp, 60)}&lt;/td&gt;&lt;/tr&gt;</v>
      </c>
      <c r="I77" s="45"/>
      <c r="L77" s="45"/>
    </row>
    <row r="78" spans="1:12" s="95" customFormat="1" ht="15" customHeight="1" x14ac:dyDescent="0.25">
      <c r="A78" s="90" t="s">
        <v>8</v>
      </c>
      <c r="B78" s="74" t="s">
        <v>93</v>
      </c>
      <c r="C78" s="75" t="s">
        <v>94</v>
      </c>
      <c r="D78" s="74" t="s">
        <v>192</v>
      </c>
      <c r="E78" s="75" t="s">
        <v>190</v>
      </c>
      <c r="F78" s="94" t="s">
        <v>191</v>
      </c>
      <c r="H78" s="13"/>
      <c r="I78" s="13"/>
      <c r="K78" s="13"/>
      <c r="L78" s="13"/>
    </row>
    <row r="79" spans="1:12" ht="15" customHeight="1" x14ac:dyDescent="0.25">
      <c r="A79" s="72" t="s">
        <v>0</v>
      </c>
      <c r="B79" s="8"/>
      <c r="C79" s="76"/>
      <c r="D79" s="8" t="str">
        <f t="shared" ref="D79:D141" si="13">IF(ISNUMBER(B79), B79 * 100, "")</f>
        <v/>
      </c>
      <c r="E79" s="8" t="str" cm="1">
        <f t="array" ref="E79">GetColorMatchValue(C79, $C$3:$C$10)</f>
        <v/>
      </c>
      <c r="F79" s="88" t="str">
        <f>"&lt;tr&gt;&lt;th colspan=""3""&gt;"&amp;A79&amp;"&lt;/th&gt;&lt;/tr&gt;"</f>
        <v>&lt;tr&gt;&lt;th colspan="3"&gt;Back Squat&lt;/th&gt;&lt;/tr&gt;</v>
      </c>
    </row>
    <row r="80" spans="1:12" ht="15" customHeight="1" x14ac:dyDescent="0.25">
      <c r="A80" s="71" t="s">
        <v>103</v>
      </c>
      <c r="B80" s="7">
        <v>0.6</v>
      </c>
      <c r="C80" s="77">
        <f>$B$3*B80</f>
        <v>120</v>
      </c>
      <c r="D80" s="8">
        <f t="shared" si="13"/>
        <v>60</v>
      </c>
      <c r="E80" s="8" t="str" cm="1">
        <f t="array" ref="E80">GetColorMatchValue(C80, $C$3:$C$10)</f>
        <v>bs</v>
      </c>
      <c r="F80" s="88" t="str">
        <f>"&lt;tr&gt;&lt;td&gt;"&amp;A80&amp;"&lt;/td&gt;&lt;td&gt;"&amp;D80&amp;"%&lt;/td&gt;&lt;td&gt;${percent("&amp;E80&amp;", "&amp;D80&amp;")}&lt;/td&gt;&lt;/tr&gt;"</f>
        <v>&lt;tr&gt;&lt;td&gt;1 Set of 5 Reps &lt;/td&gt;&lt;td&gt;60%&lt;/td&gt;&lt;td&gt;${percent(bs, 60)}&lt;/td&gt;&lt;/tr&gt;</v>
      </c>
    </row>
    <row r="81" spans="1:6" ht="15" customHeight="1" x14ac:dyDescent="0.25">
      <c r="A81" s="71" t="s">
        <v>103</v>
      </c>
      <c r="B81" s="7">
        <v>0.7</v>
      </c>
      <c r="C81" s="77">
        <f>$B$3*B81</f>
        <v>140</v>
      </c>
      <c r="D81" s="8">
        <f t="shared" si="13"/>
        <v>70</v>
      </c>
      <c r="E81" s="8" t="str" cm="1">
        <f t="array" ref="E81">GetColorMatchValue(C81, $C$3:$C$10)</f>
        <v>bs</v>
      </c>
      <c r="F81" s="88" t="str">
        <f t="shared" ref="F81:F82" si="14">"&lt;tr&gt;&lt;td&gt;"&amp;A81&amp;"&lt;/td&gt;&lt;td&gt;"&amp;D81&amp;"%&lt;/td&gt;&lt;td&gt;${percent("&amp;E81&amp;", "&amp;D81&amp;")}&lt;/td&gt;&lt;/tr&gt;"</f>
        <v>&lt;tr&gt;&lt;td&gt;1 Set of 5 Reps &lt;/td&gt;&lt;td&gt;70%&lt;/td&gt;&lt;td&gt;${percent(bs, 70)}&lt;/td&gt;&lt;/tr&gt;</v>
      </c>
    </row>
    <row r="82" spans="1:6" ht="15" customHeight="1" x14ac:dyDescent="0.25">
      <c r="A82" s="71" t="s">
        <v>104</v>
      </c>
      <c r="B82" s="7">
        <v>0.8</v>
      </c>
      <c r="C82" s="77">
        <f>$B$3*B82</f>
        <v>160</v>
      </c>
      <c r="D82" s="8">
        <f t="shared" si="13"/>
        <v>80</v>
      </c>
      <c r="E82" s="8" t="str" cm="1">
        <f t="array" ref="E82">GetColorMatchValue(C82, $C$3:$C$10)</f>
        <v>bs</v>
      </c>
      <c r="F82" s="88" t="str">
        <f t="shared" si="14"/>
        <v>&lt;tr&gt;&lt;td&gt;4 Sets of 4 Reps &lt;/td&gt;&lt;td&gt;80%&lt;/td&gt;&lt;td&gt;${percent(bs, 80)}&lt;/td&gt;&lt;/tr&gt;</v>
      </c>
    </row>
    <row r="83" spans="1:6" ht="15" customHeight="1" x14ac:dyDescent="0.25">
      <c r="A83" s="71"/>
      <c r="B83" s="8"/>
      <c r="C83" s="76"/>
      <c r="D83" s="8" t="str">
        <f t="shared" si="13"/>
        <v/>
      </c>
      <c r="E83" s="8" t="str" cm="1">
        <f t="array" ref="E83">GetColorMatchValue(C83, $C$3:$C$10)</f>
        <v/>
      </c>
      <c r="F83" s="89" t="s">
        <v>193</v>
      </c>
    </row>
    <row r="84" spans="1:6" ht="15" customHeight="1" x14ac:dyDescent="0.25">
      <c r="A84" s="72" t="s">
        <v>24</v>
      </c>
      <c r="B84" s="8"/>
      <c r="C84" s="76"/>
      <c r="D84" s="8" t="str">
        <f t="shared" si="13"/>
        <v/>
      </c>
      <c r="E84" s="8" t="str" cm="1">
        <f t="array" ref="E84">GetColorMatchValue(C84, $C$3:$C$10)</f>
        <v/>
      </c>
      <c r="F84" s="88" t="str">
        <f>"&lt;tr&gt;&lt;th colspan=""3""&gt;"&amp;A84&amp;"&lt;/th&gt;&lt;/tr&gt;"</f>
        <v>&lt;tr&gt;&lt;th colspan="3"&gt;Hang Snatch&lt;/th&gt;&lt;/tr&gt;</v>
      </c>
    </row>
    <row r="85" spans="1:6" ht="15" customHeight="1" x14ac:dyDescent="0.25">
      <c r="A85" s="71" t="s">
        <v>105</v>
      </c>
      <c r="B85" s="7">
        <v>0.6</v>
      </c>
      <c r="C85" s="78">
        <f t="shared" ref="C85:C87" si="15">$B$7*B85</f>
        <v>57</v>
      </c>
      <c r="D85" s="8">
        <f t="shared" si="13"/>
        <v>60</v>
      </c>
      <c r="E85" s="8" t="str" cm="1">
        <f t="array" ref="E85">GetColorMatchValue(C85, $C$3:$C$10)</f>
        <v>s</v>
      </c>
      <c r="F85" s="88" t="str">
        <f>"&lt;tr&gt;&lt;td&gt;"&amp;A85&amp;"&lt;/td&gt;&lt;td&gt;"&amp;D85&amp;"%&lt;/td&gt;&lt;td&gt;${percent("&amp;E85&amp;", "&amp;D85&amp;")}&lt;/td&gt;&lt;/tr&gt;"</f>
        <v>&lt;tr&gt;&lt;td&gt;1 Set of 4 Reps &lt;/td&gt;&lt;td&gt;60%&lt;/td&gt;&lt;td&gt;${percent(s, 60)}&lt;/td&gt;&lt;/tr&gt;</v>
      </c>
    </row>
    <row r="86" spans="1:6" ht="15" customHeight="1" x14ac:dyDescent="0.25">
      <c r="A86" s="71" t="s">
        <v>105</v>
      </c>
      <c r="B86" s="7">
        <v>0.7</v>
      </c>
      <c r="C86" s="78">
        <f t="shared" si="15"/>
        <v>66.5</v>
      </c>
      <c r="D86" s="8">
        <f t="shared" si="13"/>
        <v>70</v>
      </c>
      <c r="E86" s="8" t="str" cm="1">
        <f t="array" ref="E86">GetColorMatchValue(C86, $C$3:$C$10)</f>
        <v>s</v>
      </c>
      <c r="F86" s="88" t="str">
        <f t="shared" ref="F86:F87" si="16">"&lt;tr&gt;&lt;td&gt;"&amp;A86&amp;"&lt;/td&gt;&lt;td&gt;"&amp;D86&amp;"%&lt;/td&gt;&lt;td&gt;${percent("&amp;E86&amp;", "&amp;D86&amp;")}&lt;/td&gt;&lt;/tr&gt;"</f>
        <v>&lt;tr&gt;&lt;td&gt;1 Set of 4 Reps &lt;/td&gt;&lt;td&gt;70%&lt;/td&gt;&lt;td&gt;${percent(s, 70)}&lt;/td&gt;&lt;/tr&gt;</v>
      </c>
    </row>
    <row r="87" spans="1:6" ht="15" customHeight="1" x14ac:dyDescent="0.25">
      <c r="A87" s="71" t="s">
        <v>106</v>
      </c>
      <c r="B87" s="7">
        <v>0.8</v>
      </c>
      <c r="C87" s="78">
        <f t="shared" si="15"/>
        <v>76</v>
      </c>
      <c r="D87" s="8">
        <f t="shared" si="13"/>
        <v>80</v>
      </c>
      <c r="E87" s="8" t="str" cm="1">
        <f t="array" ref="E87">GetColorMatchValue(C87, $C$3:$C$10)</f>
        <v>s</v>
      </c>
      <c r="F87" s="88" t="str">
        <f t="shared" si="16"/>
        <v>&lt;tr&gt;&lt;td&gt;2 Sets of 3 Reps &lt;/td&gt;&lt;td&gt;80%&lt;/td&gt;&lt;td&gt;${percent(s, 80)}&lt;/td&gt;&lt;/tr&gt;</v>
      </c>
    </row>
    <row r="88" spans="1:6" ht="15" customHeight="1" x14ac:dyDescent="0.25">
      <c r="A88" s="71"/>
      <c r="B88" s="8"/>
      <c r="C88" s="76"/>
      <c r="D88" s="8" t="str">
        <f t="shared" si="13"/>
        <v/>
      </c>
      <c r="E88" s="8" t="str" cm="1">
        <f t="array" ref="E88">GetColorMatchValue(C88, $C$3:$C$10)</f>
        <v/>
      </c>
      <c r="F88" s="89" t="s">
        <v>193</v>
      </c>
    </row>
    <row r="89" spans="1:6" ht="15" customHeight="1" x14ac:dyDescent="0.25">
      <c r="A89" s="72" t="s">
        <v>25</v>
      </c>
      <c r="B89" s="8"/>
      <c r="C89" s="76"/>
      <c r="D89" s="8" t="str">
        <f t="shared" si="13"/>
        <v/>
      </c>
      <c r="E89" s="8" t="str" cm="1">
        <f t="array" ref="E89">GetColorMatchValue(C89, $C$3:$C$10)</f>
        <v/>
      </c>
      <c r="F89" s="88" t="str">
        <f>"&lt;tr&gt;&lt;th colspan=""3""&gt;"&amp;A89&amp;"&lt;/th&gt;&lt;/tr&gt;"</f>
        <v>&lt;tr&gt;&lt;th colspan="3"&gt;Hang Clean + Jerk&lt;/th&gt;&lt;/tr&gt;</v>
      </c>
    </row>
    <row r="90" spans="1:6" ht="15" customHeight="1" x14ac:dyDescent="0.25">
      <c r="A90" s="71" t="s">
        <v>107</v>
      </c>
      <c r="B90" s="7">
        <v>0.6</v>
      </c>
      <c r="C90" s="82">
        <f t="shared" ref="C90:C93" si="17">$B$8*B90</f>
        <v>69</v>
      </c>
      <c r="D90" s="8">
        <f t="shared" si="13"/>
        <v>60</v>
      </c>
      <c r="E90" s="8" t="str" cm="1">
        <f t="array" ref="E90">GetColorMatchValue(C90, $C$3:$C$10)</f>
        <v>cj</v>
      </c>
      <c r="F90" s="88" t="str">
        <f>"&lt;tr&gt;&lt;td&gt;"&amp;A90&amp;"&lt;/td&gt;&lt;td&gt;"&amp;D90&amp;"%&lt;/td&gt;&lt;td&gt;${percent("&amp;E90&amp;", "&amp;D90&amp;")}&lt;/td&gt;&lt;/tr&gt;"</f>
        <v>&lt;tr&gt;&lt;td&gt;1 Set of 4 Hg.Cl. + 1 Jr. &lt;/td&gt;&lt;td&gt;60%&lt;/td&gt;&lt;td&gt;${percent(cj, 60)}&lt;/td&gt;&lt;/tr&gt;</v>
      </c>
    </row>
    <row r="91" spans="1:6" ht="15" customHeight="1" x14ac:dyDescent="0.25">
      <c r="A91" s="71" t="s">
        <v>107</v>
      </c>
      <c r="B91" s="7">
        <v>0.7</v>
      </c>
      <c r="C91" s="82">
        <f t="shared" si="17"/>
        <v>80.5</v>
      </c>
      <c r="D91" s="8">
        <f t="shared" si="13"/>
        <v>70</v>
      </c>
      <c r="E91" s="8" t="str" cm="1">
        <f t="array" ref="E91">GetColorMatchValue(C91, $C$3:$C$10)</f>
        <v>cj</v>
      </c>
      <c r="F91" s="88" t="str">
        <f t="shared" ref="F91:F93" si="18">"&lt;tr&gt;&lt;td&gt;"&amp;A91&amp;"&lt;/td&gt;&lt;td&gt;"&amp;D91&amp;"%&lt;/td&gt;&lt;td&gt;${percent("&amp;E91&amp;", "&amp;D91&amp;")}&lt;/td&gt;&lt;/tr&gt;"</f>
        <v>&lt;tr&gt;&lt;td&gt;1 Set of 4 Hg.Cl. + 1 Jr. &lt;/td&gt;&lt;td&gt;70%&lt;/td&gt;&lt;td&gt;${percent(cj, 70)}&lt;/td&gt;&lt;/tr&gt;</v>
      </c>
    </row>
    <row r="92" spans="1:6" ht="15" customHeight="1" x14ac:dyDescent="0.25">
      <c r="A92" s="71" t="s">
        <v>108</v>
      </c>
      <c r="B92" s="7">
        <v>0.8</v>
      </c>
      <c r="C92" s="82">
        <f t="shared" si="17"/>
        <v>92</v>
      </c>
      <c r="D92" s="8">
        <f t="shared" si="13"/>
        <v>80</v>
      </c>
      <c r="E92" s="8" t="str" cm="1">
        <f t="array" ref="E92">GetColorMatchValue(C92, $C$3:$C$10)</f>
        <v>cj</v>
      </c>
      <c r="F92" s="88" t="str">
        <f t="shared" si="18"/>
        <v>&lt;tr&gt;&lt;td&gt;1 Set of 3 Hg.Cl. + 1 Jr. &lt;/td&gt;&lt;td&gt;80%&lt;/td&gt;&lt;td&gt;${percent(cj, 80)}&lt;/td&gt;&lt;/tr&gt;</v>
      </c>
    </row>
    <row r="93" spans="1:6" ht="15" customHeight="1" x14ac:dyDescent="0.25">
      <c r="A93" s="71" t="s">
        <v>109</v>
      </c>
      <c r="B93" s="7">
        <v>0.75</v>
      </c>
      <c r="C93" s="82">
        <f t="shared" si="17"/>
        <v>86.25</v>
      </c>
      <c r="D93" s="8">
        <f t="shared" si="13"/>
        <v>75</v>
      </c>
      <c r="E93" s="8" t="str" cm="1">
        <f t="array" ref="E93">GetColorMatchValue(C93, $C$3:$C$10)</f>
        <v>cj</v>
      </c>
      <c r="F93" s="88" t="str">
        <f t="shared" si="18"/>
        <v>&lt;tr&gt;&lt;td&gt;2 Sets of 4 Hg.Cl. + 1 Jr. &lt;/td&gt;&lt;td&gt;75%&lt;/td&gt;&lt;td&gt;${percent(cj, 75)}&lt;/td&gt;&lt;/tr&gt;</v>
      </c>
    </row>
    <row r="94" spans="1:6" ht="15" customHeight="1" x14ac:dyDescent="0.25">
      <c r="A94" s="71"/>
      <c r="B94" s="8"/>
      <c r="C94" s="76"/>
      <c r="D94" s="8" t="str">
        <f t="shared" si="13"/>
        <v/>
      </c>
      <c r="E94" s="8" t="str" cm="1">
        <f t="array" ref="E94">GetColorMatchValue(C94, $C$3:$C$10)</f>
        <v/>
      </c>
      <c r="F94" s="89" t="s">
        <v>193</v>
      </c>
    </row>
    <row r="95" spans="1:6" ht="15" customHeight="1" x14ac:dyDescent="0.25">
      <c r="A95" s="72" t="s">
        <v>26</v>
      </c>
      <c r="B95" s="8"/>
      <c r="C95" s="76"/>
      <c r="D95" s="8" t="str">
        <f t="shared" si="13"/>
        <v/>
      </c>
      <c r="E95" s="8" t="str" cm="1">
        <f t="array" ref="E95">GetColorMatchValue(C95, $C$3:$C$10)</f>
        <v/>
      </c>
      <c r="F95" s="88" t="str">
        <f>"&lt;tr&gt;&lt;th colspan=""3""&gt;"&amp;A95&amp;"&lt;/th&gt;&lt;/tr&gt;"</f>
        <v>&lt;tr&gt;&lt;th colspan="3"&gt;Behind the Neck Push Press&lt;/th&gt;&lt;/tr&gt;</v>
      </c>
    </row>
    <row r="96" spans="1:6" ht="15" customHeight="1" x14ac:dyDescent="0.25">
      <c r="A96" s="71" t="s">
        <v>105</v>
      </c>
      <c r="B96" s="7">
        <v>0.6</v>
      </c>
      <c r="C96" s="81">
        <f t="shared" ref="C96:C100" si="19">$B$10*B96</f>
        <v>48</v>
      </c>
      <c r="D96" s="8">
        <f t="shared" si="13"/>
        <v>60</v>
      </c>
      <c r="E96" s="8" t="str" cm="1">
        <f t="array" ref="E96">GetColorMatchValue(C96, $C$3:$C$10)</f>
        <v>pp</v>
      </c>
      <c r="F96" s="88" t="str">
        <f>"&lt;tr&gt;&lt;td&gt;"&amp;A96&amp;"&lt;/td&gt;&lt;td&gt;"&amp;D96&amp;"%&lt;/td&gt;&lt;td&gt;${percent("&amp;E96&amp;", "&amp;D96&amp;")}&lt;/td&gt;&lt;/tr&gt;"</f>
        <v>&lt;tr&gt;&lt;td&gt;1 Set of 4 Reps &lt;/td&gt;&lt;td&gt;60%&lt;/td&gt;&lt;td&gt;${percent(pp, 60)}&lt;/td&gt;&lt;/tr&gt;</v>
      </c>
    </row>
    <row r="97" spans="1:12" ht="15" customHeight="1" x14ac:dyDescent="0.25">
      <c r="A97" s="71" t="s">
        <v>105</v>
      </c>
      <c r="B97" s="7">
        <v>0.7</v>
      </c>
      <c r="C97" s="81">
        <f t="shared" si="19"/>
        <v>56</v>
      </c>
      <c r="D97" s="8">
        <f t="shared" si="13"/>
        <v>70</v>
      </c>
      <c r="E97" s="8" t="str" cm="1">
        <f t="array" ref="E97">GetColorMatchValue(C97, $C$3:$C$10)</f>
        <v>pp</v>
      </c>
      <c r="F97" s="88" t="str">
        <f t="shared" ref="F97:F100" si="20">"&lt;tr&gt;&lt;td&gt;"&amp;A97&amp;"&lt;/td&gt;&lt;td&gt;"&amp;D97&amp;"%&lt;/td&gt;&lt;td&gt;${percent("&amp;E97&amp;", "&amp;D97&amp;")}&lt;/td&gt;&lt;/tr&gt;"</f>
        <v>&lt;tr&gt;&lt;td&gt;1 Set of 4 Reps &lt;/td&gt;&lt;td&gt;70%&lt;/td&gt;&lt;td&gt;${percent(pp, 70)}&lt;/td&gt;&lt;/tr&gt;</v>
      </c>
    </row>
    <row r="98" spans="1:12" ht="15" customHeight="1" x14ac:dyDescent="0.25">
      <c r="A98" s="71" t="s">
        <v>98</v>
      </c>
      <c r="B98" s="7">
        <v>0.75</v>
      </c>
      <c r="C98" s="81">
        <f t="shared" si="19"/>
        <v>60</v>
      </c>
      <c r="D98" s="8">
        <f t="shared" si="13"/>
        <v>75</v>
      </c>
      <c r="E98" s="8" t="str" cm="1">
        <f t="array" ref="E98">GetColorMatchValue(C98, $C$3:$C$10)</f>
        <v>pp</v>
      </c>
      <c r="F98" s="88" t="str">
        <f t="shared" si="20"/>
        <v>&lt;tr&gt;&lt;td&gt;1 Set of 1 Rep &lt;/td&gt;&lt;td&gt;75%&lt;/td&gt;&lt;td&gt;${percent(pp, 75)}&lt;/td&gt;&lt;/tr&gt;</v>
      </c>
    </row>
    <row r="99" spans="1:12" ht="15" customHeight="1" x14ac:dyDescent="0.25">
      <c r="A99" s="71" t="s">
        <v>105</v>
      </c>
      <c r="B99" s="7">
        <v>0.6</v>
      </c>
      <c r="C99" s="81">
        <f t="shared" si="19"/>
        <v>48</v>
      </c>
      <c r="D99" s="8">
        <f t="shared" si="13"/>
        <v>60</v>
      </c>
      <c r="E99" s="8" t="str" cm="1">
        <f t="array" ref="E99">GetColorMatchValue(C99, $C$3:$C$10)</f>
        <v>pp</v>
      </c>
      <c r="F99" s="88" t="str">
        <f t="shared" si="20"/>
        <v>&lt;tr&gt;&lt;td&gt;1 Set of 4 Reps &lt;/td&gt;&lt;td&gt;60%&lt;/td&gt;&lt;td&gt;${percent(pp, 60)}&lt;/td&gt;&lt;/tr&gt;</v>
      </c>
    </row>
    <row r="100" spans="1:12" ht="15" customHeight="1" x14ac:dyDescent="0.25">
      <c r="A100" s="71" t="s">
        <v>110</v>
      </c>
      <c r="B100" s="7">
        <v>0.7</v>
      </c>
      <c r="C100" s="81">
        <f t="shared" si="19"/>
        <v>56</v>
      </c>
      <c r="D100" s="8">
        <f t="shared" si="13"/>
        <v>70</v>
      </c>
      <c r="E100" s="8" t="str" cm="1">
        <f t="array" ref="E100">GetColorMatchValue(C100, $C$3:$C$10)</f>
        <v>pp</v>
      </c>
      <c r="F100" s="88" t="str">
        <f t="shared" si="20"/>
        <v>&lt;tr&gt;&lt;td&gt;3 Sets of 4 Reps &lt;/td&gt;&lt;td&gt;70%&lt;/td&gt;&lt;td&gt;${percent(pp, 70)}&lt;/td&gt;&lt;/tr&gt;</v>
      </c>
    </row>
    <row r="101" spans="1:12" ht="15" customHeight="1" x14ac:dyDescent="0.25">
      <c r="A101" s="71"/>
      <c r="B101" s="8"/>
      <c r="C101" s="76"/>
      <c r="D101" s="8" t="str">
        <f t="shared" si="13"/>
        <v/>
      </c>
      <c r="E101" s="8" t="str" cm="1">
        <f t="array" ref="E101">GetColorMatchValue(C101, $C$3:$C$10)</f>
        <v/>
      </c>
      <c r="F101" s="89" t="s">
        <v>193</v>
      </c>
    </row>
    <row r="102" spans="1:12" ht="15" customHeight="1" x14ac:dyDescent="0.25">
      <c r="A102" s="72" t="s">
        <v>83</v>
      </c>
      <c r="B102" s="8"/>
      <c r="C102" s="76"/>
      <c r="D102" s="8" t="str">
        <f t="shared" si="13"/>
        <v/>
      </c>
      <c r="E102" s="8" t="str" cm="1">
        <f t="array" ref="E102">GetColorMatchValue(C102, $C$3:$C$10)</f>
        <v/>
      </c>
      <c r="F102" s="88" t="str">
        <f>"&lt;tr&gt;&lt;th colspan=""3""&gt;"&amp;A102&amp;"&lt;/th&gt;&lt;/tr&gt;"</f>
        <v>&lt;tr&gt;&lt;th colspan="3"&gt;Snatch Pulls &lt;/th&gt;&lt;/tr&gt;</v>
      </c>
    </row>
    <row r="103" spans="1:12" ht="15" customHeight="1" x14ac:dyDescent="0.25">
      <c r="A103" s="71" t="s">
        <v>111</v>
      </c>
      <c r="B103" s="7">
        <v>0.8</v>
      </c>
      <c r="C103" s="78">
        <f>$B$7*B103</f>
        <v>76</v>
      </c>
      <c r="D103" s="8">
        <f t="shared" si="13"/>
        <v>80</v>
      </c>
      <c r="E103" s="8" t="str" cm="1">
        <f t="array" ref="E103">GetColorMatchValue(C103, $C$3:$C$10)</f>
        <v>s</v>
      </c>
      <c r="F103" s="88" t="str">
        <f>"&lt;tr&gt;&lt;td&gt;"&amp;A103&amp;"&lt;/td&gt;&lt;td&gt;"&amp;D103&amp;"%&lt;/td&gt;&lt;td&gt;${percent("&amp;E103&amp;", "&amp;D103&amp;")}&lt;/td&gt;&lt;/tr&gt;"</f>
        <v>&lt;tr&gt;&lt;td&gt;5 Sets of 5 Reps &lt;/td&gt;&lt;td&gt;80%&lt;/td&gt;&lt;td&gt;${percent(s, 80)}&lt;/td&gt;&lt;/tr&gt;</v>
      </c>
    </row>
    <row r="104" spans="1:12" ht="15" customHeight="1" x14ac:dyDescent="0.25">
      <c r="A104" s="71"/>
      <c r="B104" s="8"/>
      <c r="C104" s="76"/>
      <c r="D104" s="8" t="str">
        <f t="shared" si="13"/>
        <v/>
      </c>
      <c r="E104" s="8" t="str" cm="1">
        <f t="array" ref="E104">GetColorMatchValue(C104, $C$3:$C$10)</f>
        <v/>
      </c>
      <c r="F104" s="89" t="s">
        <v>193</v>
      </c>
    </row>
    <row r="105" spans="1:12" ht="15" customHeight="1" x14ac:dyDescent="0.25">
      <c r="A105" s="72" t="s">
        <v>27</v>
      </c>
      <c r="B105" s="8"/>
      <c r="C105" s="76"/>
      <c r="D105" s="8" t="str">
        <f t="shared" si="13"/>
        <v/>
      </c>
      <c r="E105" s="8" t="str" cm="1">
        <f t="array" ref="E105">GetColorMatchValue(C105, $C$3:$C$10)</f>
        <v/>
      </c>
      <c r="F105" s="88" t="str">
        <f>"&lt;tr&gt;&lt;th colspan=""3""&gt;"&amp;A105&amp;"&lt;/th&gt;&lt;/tr&gt;"</f>
        <v>&lt;tr&gt;&lt;th colspan="3"&gt;Abdominals&lt;/th&gt;&lt;/tr&gt;</v>
      </c>
    </row>
    <row r="106" spans="1:12" ht="15" customHeight="1" x14ac:dyDescent="0.25">
      <c r="A106" s="71" t="s">
        <v>194</v>
      </c>
      <c r="B106" s="8" t="s">
        <v>195</v>
      </c>
      <c r="C106" s="76"/>
      <c r="D106" s="8" t="str">
        <f t="shared" si="13"/>
        <v/>
      </c>
      <c r="E106" s="8" t="str" cm="1">
        <f t="array" ref="E106">GetColorMatchValue(C106, $C$3:$C$10)</f>
        <v/>
      </c>
      <c r="F106" s="88" t="str">
        <f>"&lt;tr&gt;&lt;td colspan=""3""&gt;"&amp;A106&amp;" "&amp;B106&amp;"&lt;/td&gt;&lt;/tr&gt;"</f>
        <v>&lt;tr&gt;&lt;td colspan="3"&gt;3 Sets of 20 Reps Athlete's choice on exercise selection.&lt;/td&gt;&lt;/tr&gt;</v>
      </c>
    </row>
    <row r="107" spans="1:12" ht="15" customHeight="1" x14ac:dyDescent="0.25">
      <c r="A107" s="90" t="s">
        <v>9</v>
      </c>
      <c r="B107" s="74" t="s">
        <v>93</v>
      </c>
      <c r="C107" s="75" t="s">
        <v>94</v>
      </c>
      <c r="D107" s="74" t="s">
        <v>192</v>
      </c>
      <c r="E107" s="75" t="s">
        <v>190</v>
      </c>
      <c r="F107" s="91" t="s">
        <v>191</v>
      </c>
      <c r="L107" s="45"/>
    </row>
    <row r="108" spans="1:12" ht="15" customHeight="1" x14ac:dyDescent="0.25">
      <c r="A108" s="72" t="s">
        <v>0</v>
      </c>
      <c r="B108" s="8"/>
      <c r="C108" s="76"/>
      <c r="D108" s="8" t="str">
        <f t="shared" si="13"/>
        <v/>
      </c>
      <c r="E108" s="8" t="str" cm="1">
        <f t="array" ref="E108">GetColorMatchValue(C108, $C$3:$C$10)</f>
        <v/>
      </c>
      <c r="F108" s="88" t="str">
        <f>"&lt;tr&gt;&lt;th colspan=""3""&gt;"&amp;A108&amp;"&lt;/th&gt;&lt;/tr&gt;"</f>
        <v>&lt;tr&gt;&lt;th colspan="3"&gt;Back Squat&lt;/th&gt;&lt;/tr&gt;</v>
      </c>
      <c r="L108" s="45"/>
    </row>
    <row r="109" spans="1:12" ht="15" customHeight="1" x14ac:dyDescent="0.25">
      <c r="A109" s="71" t="s">
        <v>105</v>
      </c>
      <c r="B109" s="7">
        <v>0.6</v>
      </c>
      <c r="C109" s="77">
        <f>$B$3*B109</f>
        <v>120</v>
      </c>
      <c r="D109" s="8">
        <f t="shared" si="13"/>
        <v>60</v>
      </c>
      <c r="E109" s="8" t="str" cm="1">
        <f t="array" ref="E109">GetColorMatchValue(C109, $C$3:$C$10)</f>
        <v>bs</v>
      </c>
      <c r="F109" s="88" t="str">
        <f t="shared" ref="F109:F111" si="21">"&lt;tr&gt;&lt;td&gt;"&amp;A109&amp;"&lt;/td&gt;&lt;td&gt;"&amp;D109&amp;"%&lt;/td&gt;&lt;td&gt;${percent("&amp;E109&amp;", "&amp;D109&amp;")}&lt;/td&gt;&lt;/tr&gt;"</f>
        <v>&lt;tr&gt;&lt;td&gt;1 Set of 4 Reps &lt;/td&gt;&lt;td&gt;60%&lt;/td&gt;&lt;td&gt;${percent(bs, 60)}&lt;/td&gt;&lt;/tr&gt;</v>
      </c>
      <c r="L109" s="45"/>
    </row>
    <row r="110" spans="1:12" ht="15" customHeight="1" x14ac:dyDescent="0.25">
      <c r="A110" s="71" t="s">
        <v>105</v>
      </c>
      <c r="B110" s="7">
        <v>0.7</v>
      </c>
      <c r="C110" s="77">
        <f t="shared" ref="C110:C111" si="22">$B$3*B110</f>
        <v>140</v>
      </c>
      <c r="D110" s="8">
        <f t="shared" si="13"/>
        <v>70</v>
      </c>
      <c r="E110" s="8" t="str" cm="1">
        <f t="array" ref="E110">GetColorMatchValue(C110, $C$3:$C$10)</f>
        <v>bs</v>
      </c>
      <c r="F110" s="88" t="str">
        <f t="shared" si="21"/>
        <v>&lt;tr&gt;&lt;td&gt;1 Set of 4 Reps &lt;/td&gt;&lt;td&gt;70%&lt;/td&gt;&lt;td&gt;${percent(bs, 70)}&lt;/td&gt;&lt;/tr&gt;</v>
      </c>
      <c r="L110" s="45"/>
    </row>
    <row r="111" spans="1:12" ht="15" customHeight="1" x14ac:dyDescent="0.25">
      <c r="A111" s="71" t="s">
        <v>135</v>
      </c>
      <c r="B111" s="7">
        <v>0.8</v>
      </c>
      <c r="C111" s="77">
        <f t="shared" si="22"/>
        <v>160</v>
      </c>
      <c r="D111" s="8">
        <f t="shared" si="13"/>
        <v>80</v>
      </c>
      <c r="E111" s="8" t="str" cm="1">
        <f t="array" ref="E111">GetColorMatchValue(C111, $C$3:$C$10)</f>
        <v>bs</v>
      </c>
      <c r="F111" s="88" t="str">
        <f t="shared" si="21"/>
        <v>&lt;tr&gt;&lt;td&gt;5 Sets of 3 Reps &lt;/td&gt;&lt;td&gt;80%&lt;/td&gt;&lt;td&gt;${percent(bs, 80)}&lt;/td&gt;&lt;/tr&gt;</v>
      </c>
      <c r="L111" s="45"/>
    </row>
    <row r="112" spans="1:12" ht="15" customHeight="1" x14ac:dyDescent="0.25">
      <c r="A112" s="71"/>
      <c r="B112" s="8"/>
      <c r="C112" s="76"/>
      <c r="D112" s="8" t="str">
        <f t="shared" si="13"/>
        <v/>
      </c>
      <c r="E112" s="8" t="str" cm="1">
        <f t="array" ref="E112">GetColorMatchValue(C112, $C$3:$C$10)</f>
        <v/>
      </c>
      <c r="F112" s="89" t="s">
        <v>193</v>
      </c>
      <c r="L112" s="45"/>
    </row>
    <row r="113" spans="1:12" ht="15" customHeight="1" x14ac:dyDescent="0.25">
      <c r="A113" s="72" t="s">
        <v>1</v>
      </c>
      <c r="B113" s="8"/>
      <c r="C113" s="76"/>
      <c r="D113" s="8" t="str">
        <f t="shared" si="13"/>
        <v/>
      </c>
      <c r="E113" s="8" t="str" cm="1">
        <f t="array" ref="E113">GetColorMatchValue(C113, $C$3:$C$10)</f>
        <v/>
      </c>
      <c r="F113" s="88" t="str">
        <f>"&lt;tr&gt;&lt;th colspan=""3""&gt;"&amp;A113&amp;"&lt;/th&gt;&lt;/tr&gt;"</f>
        <v>&lt;tr&gt;&lt;th colspan="3"&gt;Power Snatch&lt;/th&gt;&lt;/tr&gt;</v>
      </c>
      <c r="L113" s="45"/>
    </row>
    <row r="114" spans="1:12" ht="15" customHeight="1" x14ac:dyDescent="0.25">
      <c r="A114" s="71" t="s">
        <v>105</v>
      </c>
      <c r="B114" s="7">
        <v>0.6</v>
      </c>
      <c r="C114" s="78">
        <f t="shared" ref="C114:C118" si="23">$B$7*B114</f>
        <v>57</v>
      </c>
      <c r="D114" s="8">
        <f t="shared" si="13"/>
        <v>60</v>
      </c>
      <c r="E114" s="8" t="str" cm="1">
        <f t="array" ref="E114">GetColorMatchValue(C114, $C$3:$C$10)</f>
        <v>s</v>
      </c>
      <c r="F114" s="88" t="str">
        <f t="shared" ref="F114:F118" si="24">"&lt;tr&gt;&lt;td&gt;"&amp;A114&amp;"&lt;/td&gt;&lt;td&gt;"&amp;D114&amp;"%&lt;/td&gt;&lt;td&gt;${percent("&amp;E114&amp;", "&amp;D114&amp;")}&lt;/td&gt;&lt;/tr&gt;"</f>
        <v>&lt;tr&gt;&lt;td&gt;1 Set of 4 Reps &lt;/td&gt;&lt;td&gt;60%&lt;/td&gt;&lt;td&gt;${percent(s, 60)}&lt;/td&gt;&lt;/tr&gt;</v>
      </c>
      <c r="L114" s="45"/>
    </row>
    <row r="115" spans="1:12" ht="15" customHeight="1" x14ac:dyDescent="0.25">
      <c r="A115" s="71" t="s">
        <v>105</v>
      </c>
      <c r="B115" s="7">
        <v>0.7</v>
      </c>
      <c r="C115" s="78">
        <f t="shared" si="23"/>
        <v>66.5</v>
      </c>
      <c r="D115" s="8">
        <f t="shared" si="13"/>
        <v>70</v>
      </c>
      <c r="E115" s="8" t="str" cm="1">
        <f t="array" ref="E115">GetColorMatchValue(C115, $C$3:$C$10)</f>
        <v>s</v>
      </c>
      <c r="F115" s="88" t="str">
        <f t="shared" si="24"/>
        <v>&lt;tr&gt;&lt;td&gt;1 Set of 4 Reps &lt;/td&gt;&lt;td&gt;70%&lt;/td&gt;&lt;td&gt;${percent(s, 70)}&lt;/td&gt;&lt;/tr&gt;</v>
      </c>
      <c r="L115" s="45"/>
    </row>
    <row r="116" spans="1:12" ht="15" customHeight="1" x14ac:dyDescent="0.25">
      <c r="A116" s="71" t="s">
        <v>113</v>
      </c>
      <c r="B116" s="7">
        <v>0.75</v>
      </c>
      <c r="C116" s="78">
        <f t="shared" si="23"/>
        <v>71.25</v>
      </c>
      <c r="D116" s="8">
        <f t="shared" si="13"/>
        <v>75</v>
      </c>
      <c r="E116" s="8" t="str" cm="1">
        <f t="array" ref="E116">GetColorMatchValue(C116, $C$3:$C$10)</f>
        <v>s</v>
      </c>
      <c r="F116" s="88" t="str">
        <f t="shared" si="24"/>
        <v>&lt;tr&gt;&lt;td&gt;1 Set of 2 Reps &lt;/td&gt;&lt;td&gt;75%&lt;/td&gt;&lt;td&gt;${percent(s, 75)}&lt;/td&gt;&lt;/tr&gt;</v>
      </c>
      <c r="L116" s="45"/>
    </row>
    <row r="117" spans="1:12" ht="15" customHeight="1" x14ac:dyDescent="0.25">
      <c r="A117" s="71" t="s">
        <v>95</v>
      </c>
      <c r="B117" s="7">
        <v>0.65</v>
      </c>
      <c r="C117" s="78">
        <f t="shared" si="23"/>
        <v>61.75</v>
      </c>
      <c r="D117" s="8">
        <f t="shared" si="13"/>
        <v>65</v>
      </c>
      <c r="E117" s="8" t="str" cm="1">
        <f t="array" ref="E117">GetColorMatchValue(C117, $C$3:$C$10)</f>
        <v>s</v>
      </c>
      <c r="F117" s="88" t="str">
        <f t="shared" si="24"/>
        <v>&lt;tr&gt;&lt;td&gt;1 Set of 3 Reps &lt;/td&gt;&lt;td&gt;65%&lt;/td&gt;&lt;td&gt;${percent(s, 65)}&lt;/td&gt;&lt;/tr&gt;</v>
      </c>
      <c r="L117" s="45"/>
    </row>
    <row r="118" spans="1:12" ht="15" customHeight="1" x14ac:dyDescent="0.25">
      <c r="A118" s="71" t="s">
        <v>95</v>
      </c>
      <c r="B118" s="7">
        <v>0.7</v>
      </c>
      <c r="C118" s="78">
        <f t="shared" si="23"/>
        <v>66.5</v>
      </c>
      <c r="D118" s="8">
        <f t="shared" si="13"/>
        <v>70</v>
      </c>
      <c r="E118" s="8" t="str" cm="1">
        <f t="array" ref="E118">GetColorMatchValue(C118, $C$3:$C$10)</f>
        <v>s</v>
      </c>
      <c r="F118" s="88" t="str">
        <f t="shared" si="24"/>
        <v>&lt;tr&gt;&lt;td&gt;1 Set of 3 Reps &lt;/td&gt;&lt;td&gt;70%&lt;/td&gt;&lt;td&gt;${percent(s, 70)}&lt;/td&gt;&lt;/tr&gt;</v>
      </c>
      <c r="L118" s="45"/>
    </row>
    <row r="119" spans="1:12" ht="15" customHeight="1" x14ac:dyDescent="0.25">
      <c r="A119" s="71"/>
      <c r="B119" s="8"/>
      <c r="C119" s="76"/>
      <c r="D119" s="8" t="str">
        <f t="shared" si="13"/>
        <v/>
      </c>
      <c r="E119" s="8" t="str" cm="1">
        <f t="array" ref="E119">GetColorMatchValue(C119, $C$3:$C$10)</f>
        <v/>
      </c>
      <c r="F119" s="89" t="s">
        <v>193</v>
      </c>
      <c r="L119" s="45"/>
    </row>
    <row r="120" spans="1:12" ht="15" customHeight="1" x14ac:dyDescent="0.25">
      <c r="A120" s="72" t="s">
        <v>30</v>
      </c>
      <c r="B120" s="8"/>
      <c r="C120" s="76"/>
      <c r="D120" s="8" t="str">
        <f t="shared" si="13"/>
        <v/>
      </c>
      <c r="E120" s="8" t="str" cm="1">
        <f t="array" ref="E120">GetColorMatchValue(C120, $C$3:$C$10)</f>
        <v/>
      </c>
      <c r="F120" s="88" t="str">
        <f>"&lt;tr&gt;&lt;th colspan=""3""&gt;"&amp;A120&amp;"&lt;/th&gt;&lt;/tr&gt;"</f>
        <v>&lt;tr&gt;&lt;th colspan="3"&gt;Power Clean + Push Jerk&lt;/th&gt;&lt;/tr&gt;</v>
      </c>
      <c r="L120" s="45"/>
    </row>
    <row r="121" spans="1:12" ht="15" customHeight="1" x14ac:dyDescent="0.25">
      <c r="A121" s="71" t="s">
        <v>136</v>
      </c>
      <c r="B121" s="7">
        <v>0.6</v>
      </c>
      <c r="C121" s="82">
        <f t="shared" ref="C121:C124" si="25">$B$8*B121</f>
        <v>69</v>
      </c>
      <c r="D121" s="8">
        <f t="shared" si="13"/>
        <v>60</v>
      </c>
      <c r="E121" s="8" t="str" cm="1">
        <f t="array" ref="E121">GetColorMatchValue(C121, $C$3:$C$10)</f>
        <v>cj</v>
      </c>
      <c r="F121" s="88" t="str">
        <f t="shared" ref="F121:F124" si="26">"&lt;tr&gt;&lt;td&gt;"&amp;A121&amp;"&lt;/td&gt;&lt;td&gt;"&amp;D121&amp;"%&lt;/td&gt;&lt;td&gt;${percent("&amp;E121&amp;", "&amp;D121&amp;")}&lt;/td&gt;&lt;/tr&gt;"</f>
        <v>&lt;tr&gt;&lt;td&gt;1 Set of 2 P.Cl. + 3 P.Jr. &lt;/td&gt;&lt;td&gt;60%&lt;/td&gt;&lt;td&gt;${percent(cj, 60)}&lt;/td&gt;&lt;/tr&gt;</v>
      </c>
      <c r="L121" s="45"/>
    </row>
    <row r="122" spans="1:12" ht="15" customHeight="1" x14ac:dyDescent="0.25">
      <c r="A122" s="71" t="s">
        <v>136</v>
      </c>
      <c r="B122" s="7">
        <v>0.7</v>
      </c>
      <c r="C122" s="82">
        <f t="shared" si="25"/>
        <v>80.5</v>
      </c>
      <c r="D122" s="8">
        <f t="shared" si="13"/>
        <v>70</v>
      </c>
      <c r="E122" s="8" t="str" cm="1">
        <f t="array" ref="E122">GetColorMatchValue(C122, $C$3:$C$10)</f>
        <v>cj</v>
      </c>
      <c r="F122" s="88" t="str">
        <f t="shared" si="26"/>
        <v>&lt;tr&gt;&lt;td&gt;1 Set of 2 P.Cl. + 3 P.Jr. &lt;/td&gt;&lt;td&gt;70%&lt;/td&gt;&lt;td&gt;${percent(cj, 70)}&lt;/td&gt;&lt;/tr&gt;</v>
      </c>
      <c r="L122" s="45"/>
    </row>
    <row r="123" spans="1:12" ht="15" customHeight="1" x14ac:dyDescent="0.25">
      <c r="A123" s="71" t="s">
        <v>137</v>
      </c>
      <c r="B123" s="7">
        <v>0.75</v>
      </c>
      <c r="C123" s="82">
        <f t="shared" si="25"/>
        <v>86.25</v>
      </c>
      <c r="D123" s="8">
        <f t="shared" si="13"/>
        <v>75</v>
      </c>
      <c r="E123" s="8" t="str" cm="1">
        <f t="array" ref="E123">GetColorMatchValue(C123, $C$3:$C$10)</f>
        <v>cj</v>
      </c>
      <c r="F123" s="88" t="str">
        <f t="shared" si="26"/>
        <v>&lt;tr&gt;&lt;td&gt;1 Set of 1 P.Cl. + 2 P.Jr. &lt;/td&gt;&lt;td&gt;75%&lt;/td&gt;&lt;td&gt;${percent(cj, 75)}&lt;/td&gt;&lt;/tr&gt;</v>
      </c>
      <c r="L123" s="45"/>
    </row>
    <row r="124" spans="1:12" ht="15" customHeight="1" x14ac:dyDescent="0.25">
      <c r="A124" s="71" t="s">
        <v>138</v>
      </c>
      <c r="B124" s="7">
        <v>0.7</v>
      </c>
      <c r="C124" s="82">
        <f t="shared" si="25"/>
        <v>80.5</v>
      </c>
      <c r="D124" s="8">
        <f t="shared" si="13"/>
        <v>70</v>
      </c>
      <c r="E124" s="8" t="str" cm="1">
        <f t="array" ref="E124">GetColorMatchValue(C124, $C$3:$C$10)</f>
        <v>cj</v>
      </c>
      <c r="F124" s="88" t="str">
        <f t="shared" si="26"/>
        <v>&lt;tr&gt;&lt;td&gt;3 Sets of 2 P.Cl. + 2 P.Jr. &lt;/td&gt;&lt;td&gt;70%&lt;/td&gt;&lt;td&gt;${percent(cj, 70)}&lt;/td&gt;&lt;/tr&gt;</v>
      </c>
      <c r="L124" s="45"/>
    </row>
    <row r="125" spans="1:12" ht="15" customHeight="1" x14ac:dyDescent="0.25">
      <c r="A125" s="71"/>
      <c r="B125" s="8"/>
      <c r="C125" s="76"/>
      <c r="D125" s="8" t="str">
        <f t="shared" si="13"/>
        <v/>
      </c>
      <c r="E125" s="8" t="str" cm="1">
        <f t="array" ref="E125">GetColorMatchValue(C125, $C$3:$C$10)</f>
        <v/>
      </c>
      <c r="F125" s="89" t="s">
        <v>193</v>
      </c>
      <c r="L125" s="45"/>
    </row>
    <row r="126" spans="1:12" ht="15" customHeight="1" x14ac:dyDescent="0.25">
      <c r="A126" s="72" t="s">
        <v>31</v>
      </c>
      <c r="B126" s="8"/>
      <c r="C126" s="76"/>
      <c r="D126" s="8" t="str">
        <f t="shared" si="13"/>
        <v/>
      </c>
      <c r="E126" s="8" t="str" cm="1">
        <f t="array" ref="E126">GetColorMatchValue(C126, $C$3:$C$10)</f>
        <v/>
      </c>
      <c r="F126" s="88" t="str">
        <f>"&lt;tr&gt;&lt;th colspan=""3""&gt;"&amp;A126&amp;"&lt;/th&gt;&lt;/tr&gt;"</f>
        <v>&lt;tr&gt;&lt;th colspan="3"&gt;RDL&lt;/th&gt;&lt;/tr&gt;</v>
      </c>
      <c r="L126" s="45"/>
    </row>
    <row r="127" spans="1:12" ht="15" customHeight="1" x14ac:dyDescent="0.25">
      <c r="A127" s="71" t="s">
        <v>103</v>
      </c>
      <c r="B127" s="7">
        <v>0.8</v>
      </c>
      <c r="C127" s="83">
        <f>$B$9*B127</f>
        <v>160</v>
      </c>
      <c r="D127" s="8">
        <f t="shared" si="13"/>
        <v>80</v>
      </c>
      <c r="E127" s="8" t="str" cm="1">
        <f t="array" ref="E127">GetColorMatchValue(C127, $C$3:$C$10)</f>
        <v>d</v>
      </c>
      <c r="F127" s="88" t="str">
        <f t="shared" ref="F127:F128" si="27">"&lt;tr&gt;&lt;td&gt;"&amp;A127&amp;"&lt;/td&gt;&lt;td&gt;"&amp;D127&amp;"%&lt;/td&gt;&lt;td&gt;${percent("&amp;E127&amp;", "&amp;D127&amp;")}&lt;/td&gt;&lt;/tr&gt;"</f>
        <v>&lt;tr&gt;&lt;td&gt;1 Set of 5 Reps &lt;/td&gt;&lt;td&gt;80%&lt;/td&gt;&lt;td&gt;${percent(d, 80)}&lt;/td&gt;&lt;/tr&gt;</v>
      </c>
      <c r="L127" s="45"/>
    </row>
    <row r="128" spans="1:12" ht="15" customHeight="1" x14ac:dyDescent="0.25">
      <c r="A128" s="71" t="s">
        <v>118</v>
      </c>
      <c r="B128" s="7">
        <v>0.85</v>
      </c>
      <c r="C128" s="83">
        <f>$B$9*B128</f>
        <v>170</v>
      </c>
      <c r="D128" s="8">
        <f t="shared" si="13"/>
        <v>85</v>
      </c>
      <c r="E128" s="8" t="str" cm="1">
        <f t="array" ref="E128">GetColorMatchValue(C128, $C$3:$C$10)</f>
        <v>d</v>
      </c>
      <c r="F128" s="88" t="str">
        <f t="shared" si="27"/>
        <v>&lt;tr&gt;&lt;td&gt;5 Sets of 4 Reps &lt;/td&gt;&lt;td&gt;85%&lt;/td&gt;&lt;td&gt;${percent(d, 85)}&lt;/td&gt;&lt;/tr&gt;</v>
      </c>
      <c r="L128" s="45"/>
    </row>
    <row r="129" spans="1:12" ht="15" customHeight="1" x14ac:dyDescent="0.25">
      <c r="A129" s="71"/>
      <c r="B129" s="8"/>
      <c r="C129" s="76"/>
      <c r="D129" s="8" t="str">
        <f t="shared" si="13"/>
        <v/>
      </c>
      <c r="E129" s="8" t="str" cm="1">
        <f t="array" ref="E129">GetColorMatchValue(C129, $C$3:$C$10)</f>
        <v/>
      </c>
      <c r="F129" s="89" t="s">
        <v>193</v>
      </c>
      <c r="L129" s="45"/>
    </row>
    <row r="130" spans="1:12" ht="15" customHeight="1" x14ac:dyDescent="0.25">
      <c r="A130" s="72" t="s">
        <v>27</v>
      </c>
      <c r="B130" s="8"/>
      <c r="C130" s="76"/>
      <c r="D130" s="8" t="str">
        <f t="shared" si="13"/>
        <v/>
      </c>
      <c r="E130" s="8" t="str" cm="1">
        <f t="array" ref="E130">GetColorMatchValue(C130, $C$3:$C$10)</f>
        <v/>
      </c>
      <c r="F130" s="88" t="str">
        <f>"&lt;tr&gt;&lt;th colspan=""3""&gt;"&amp;A130&amp;"&lt;/th&gt;&lt;/tr&gt;"</f>
        <v>&lt;tr&gt;&lt;th colspan="3"&gt;Abdominals&lt;/th&gt;&lt;/tr&gt;</v>
      </c>
      <c r="L130" s="45"/>
    </row>
    <row r="131" spans="1:12" ht="15" customHeight="1" x14ac:dyDescent="0.25">
      <c r="A131" s="71" t="s">
        <v>196</v>
      </c>
      <c r="B131" s="8" t="s">
        <v>195</v>
      </c>
      <c r="C131" s="76"/>
      <c r="D131" s="8" t="str">
        <f t="shared" si="13"/>
        <v/>
      </c>
      <c r="E131" s="8" t="str" cm="1">
        <f t="array" ref="E131">GetColorMatchValue(C131, $C$3:$C$10)</f>
        <v/>
      </c>
      <c r="F131" s="88" t="str">
        <f>"&lt;tr&gt;&lt;td colspan=""3""&gt;"&amp;A131&amp;" "&amp;B131&amp;"&lt;/td&gt;&lt;/tr&gt;"</f>
        <v>&lt;tr&gt;&lt;td colspan="3"&gt;4 Sets of 20 Reps Athlete's choice on exercise selection.&lt;/td&gt;&lt;/tr&gt;</v>
      </c>
      <c r="L131" s="45"/>
    </row>
    <row r="132" spans="1:12" ht="15" customHeight="1" x14ac:dyDescent="0.25">
      <c r="A132" s="90" t="s">
        <v>10</v>
      </c>
      <c r="B132" s="74" t="s">
        <v>93</v>
      </c>
      <c r="C132" s="75" t="s">
        <v>94</v>
      </c>
      <c r="D132" s="74" t="s">
        <v>192</v>
      </c>
      <c r="E132" s="75" t="s">
        <v>190</v>
      </c>
      <c r="F132" s="91" t="s">
        <v>191</v>
      </c>
      <c r="I132" s="45"/>
      <c r="L132" s="45"/>
    </row>
    <row r="133" spans="1:12" ht="15" customHeight="1" x14ac:dyDescent="0.25">
      <c r="A133" s="72" t="s">
        <v>34</v>
      </c>
      <c r="B133" s="8"/>
      <c r="C133" s="76"/>
      <c r="D133" s="8" t="str">
        <f t="shared" si="13"/>
        <v/>
      </c>
      <c r="E133" s="8" t="str" cm="1">
        <f t="array" ref="E133">GetColorMatchValue(C133, $C$3:$C$10)</f>
        <v/>
      </c>
      <c r="F133" s="88" t="str">
        <f>"&lt;tr&gt;&lt;th colspan=""3""&gt;"&amp;A133&amp;"&lt;/th&gt;&lt;/tr&gt;"</f>
        <v>&lt;tr&gt;&lt;th colspan="3"&gt;Front Squat&lt;/th&gt;&lt;/tr&gt;</v>
      </c>
      <c r="I133" s="45"/>
      <c r="L133" s="45"/>
    </row>
    <row r="134" spans="1:12" ht="15" customHeight="1" x14ac:dyDescent="0.25">
      <c r="A134" s="71" t="s">
        <v>103</v>
      </c>
      <c r="B134" s="7">
        <v>0.6</v>
      </c>
      <c r="C134" s="84">
        <f>$B$4*B134</f>
        <v>84</v>
      </c>
      <c r="D134" s="8">
        <f t="shared" si="13"/>
        <v>60</v>
      </c>
      <c r="E134" s="8" t="str" cm="1">
        <f t="array" ref="E134">GetColorMatchValue(C134, $C$3:$C$10)</f>
        <v>fs</v>
      </c>
      <c r="F134" s="88" t="str">
        <f t="shared" ref="F134:F137" si="28">"&lt;tr&gt;&lt;td&gt;"&amp;A134&amp;"&lt;/td&gt;&lt;td&gt;"&amp;D134&amp;"%&lt;/td&gt;&lt;td&gt;${percent("&amp;E134&amp;", "&amp;D134&amp;")}&lt;/td&gt;&lt;/tr&gt;"</f>
        <v>&lt;tr&gt;&lt;td&gt;1 Set of 5 Reps &lt;/td&gt;&lt;td&gt;60%&lt;/td&gt;&lt;td&gt;${percent(fs, 60)}&lt;/td&gt;&lt;/tr&gt;</v>
      </c>
      <c r="I134" s="45"/>
      <c r="L134" s="45"/>
    </row>
    <row r="135" spans="1:12" ht="15" customHeight="1" x14ac:dyDescent="0.25">
      <c r="A135" s="71" t="s">
        <v>103</v>
      </c>
      <c r="B135" s="7">
        <v>0.7</v>
      </c>
      <c r="C135" s="84">
        <f t="shared" ref="C135:C137" si="29">$B$4*B135</f>
        <v>98</v>
      </c>
      <c r="D135" s="8">
        <f t="shared" si="13"/>
        <v>70</v>
      </c>
      <c r="E135" s="8" t="str" cm="1">
        <f t="array" ref="E135">GetColorMatchValue(C135, $C$3:$C$10)</f>
        <v>fs</v>
      </c>
      <c r="F135" s="88" t="str">
        <f t="shared" si="28"/>
        <v>&lt;tr&gt;&lt;td&gt;1 Set of 5 Reps &lt;/td&gt;&lt;td&gt;70%&lt;/td&gt;&lt;td&gt;${percent(fs, 70)}&lt;/td&gt;&lt;/tr&gt;</v>
      </c>
      <c r="I135" s="45"/>
      <c r="L135" s="45"/>
    </row>
    <row r="136" spans="1:12" ht="15" customHeight="1" x14ac:dyDescent="0.25">
      <c r="A136" s="71" t="s">
        <v>152</v>
      </c>
      <c r="B136" s="7">
        <v>0.8</v>
      </c>
      <c r="C136" s="84">
        <f t="shared" si="29"/>
        <v>112</v>
      </c>
      <c r="D136" s="8">
        <f t="shared" si="13"/>
        <v>80</v>
      </c>
      <c r="E136" s="8" t="str" cm="1">
        <f t="array" ref="E136">GetColorMatchValue(C136, $C$3:$C$10)</f>
        <v>fs</v>
      </c>
      <c r="F136" s="88" t="str">
        <f t="shared" si="28"/>
        <v>&lt;tr&gt;&lt;td&gt;3 Sets of 4 Reps &lt;/td&gt;&lt;td&gt;80%&lt;/td&gt;&lt;td&gt;${percent(fs, 80)}&lt;/td&gt;&lt;/tr&gt;</v>
      </c>
      <c r="I136" s="45"/>
      <c r="L136" s="45"/>
    </row>
    <row r="137" spans="1:12" ht="15" customHeight="1" x14ac:dyDescent="0.25">
      <c r="A137" s="71" t="s">
        <v>174</v>
      </c>
      <c r="B137" s="7">
        <v>0.9</v>
      </c>
      <c r="C137" s="84">
        <f t="shared" si="29"/>
        <v>126</v>
      </c>
      <c r="D137" s="8">
        <f t="shared" si="13"/>
        <v>90</v>
      </c>
      <c r="E137" s="8" t="str" cm="1">
        <f t="array" ref="E137">GetColorMatchValue(C137, $C$3:$C$10)</f>
        <v>fs</v>
      </c>
      <c r="F137" s="88" t="str">
        <f t="shared" si="28"/>
        <v>&lt;tr&gt;&lt;td&gt;1Set of 1 Rep&lt;/td&gt;&lt;td&gt;90%&lt;/td&gt;&lt;td&gt;${percent(fs, 90)}&lt;/td&gt;&lt;/tr&gt;</v>
      </c>
      <c r="I137" s="45"/>
      <c r="L137" s="45"/>
    </row>
    <row r="138" spans="1:12" ht="15" customHeight="1" x14ac:dyDescent="0.25">
      <c r="A138" s="71"/>
      <c r="B138" s="8"/>
      <c r="C138" s="76"/>
      <c r="D138" s="8" t="str">
        <f t="shared" si="13"/>
        <v/>
      </c>
      <c r="E138" s="8" t="str" cm="1">
        <f t="array" ref="E138">GetColorMatchValue(C138, $C$3:$C$10)</f>
        <v/>
      </c>
      <c r="F138" s="89" t="s">
        <v>193</v>
      </c>
      <c r="I138" s="45"/>
      <c r="L138" s="45"/>
    </row>
    <row r="139" spans="1:12" ht="15" customHeight="1" x14ac:dyDescent="0.25">
      <c r="A139" s="72" t="s">
        <v>24</v>
      </c>
      <c r="B139" s="8"/>
      <c r="C139" s="76"/>
      <c r="D139" s="8" t="str">
        <f t="shared" si="13"/>
        <v/>
      </c>
      <c r="E139" s="8" t="str" cm="1">
        <f t="array" ref="E139">GetColorMatchValue(C139, $C$3:$C$10)</f>
        <v/>
      </c>
      <c r="F139" s="88" t="str">
        <f>"&lt;tr&gt;&lt;th colspan=""3""&gt;"&amp;A139&amp;"&lt;/th&gt;&lt;/tr&gt;"</f>
        <v>&lt;tr&gt;&lt;th colspan="3"&gt;Hang Snatch&lt;/th&gt;&lt;/tr&gt;</v>
      </c>
      <c r="I139" s="45"/>
      <c r="L139" s="45"/>
    </row>
    <row r="140" spans="1:12" ht="15" customHeight="1" x14ac:dyDescent="0.25">
      <c r="A140" s="71" t="s">
        <v>95</v>
      </c>
      <c r="B140" s="7">
        <v>0.6</v>
      </c>
      <c r="C140" s="78">
        <f t="shared" ref="C140:C144" si="30">$B$7*B140</f>
        <v>57</v>
      </c>
      <c r="D140" s="8">
        <f t="shared" si="13"/>
        <v>60</v>
      </c>
      <c r="E140" s="8" t="str" cm="1">
        <f t="array" ref="E140">GetColorMatchValue(C140, $C$3:$C$10)</f>
        <v>s</v>
      </c>
      <c r="F140" s="88" t="str">
        <f t="shared" ref="F140:F144" si="31">"&lt;tr&gt;&lt;td&gt;"&amp;A140&amp;"&lt;/td&gt;&lt;td&gt;"&amp;D140&amp;"%&lt;/td&gt;&lt;td&gt;${percent("&amp;E140&amp;", "&amp;D140&amp;")}&lt;/td&gt;&lt;/tr&gt;"</f>
        <v>&lt;tr&gt;&lt;td&gt;1 Set of 3 Reps &lt;/td&gt;&lt;td&gt;60%&lt;/td&gt;&lt;td&gt;${percent(s, 60)}&lt;/td&gt;&lt;/tr&gt;</v>
      </c>
      <c r="I140" s="45"/>
      <c r="L140" s="45"/>
    </row>
    <row r="141" spans="1:12" ht="15" customHeight="1" x14ac:dyDescent="0.25">
      <c r="A141" s="71" t="s">
        <v>95</v>
      </c>
      <c r="B141" s="7">
        <v>0.7</v>
      </c>
      <c r="C141" s="78">
        <f t="shared" si="30"/>
        <v>66.5</v>
      </c>
      <c r="D141" s="8">
        <f t="shared" si="13"/>
        <v>70</v>
      </c>
      <c r="E141" s="8" t="str" cm="1">
        <f t="array" ref="E141">GetColorMatchValue(C141, $C$3:$C$10)</f>
        <v>s</v>
      </c>
      <c r="F141" s="88" t="str">
        <f t="shared" si="31"/>
        <v>&lt;tr&gt;&lt;td&gt;1 Set of 3 Reps &lt;/td&gt;&lt;td&gt;70%&lt;/td&gt;&lt;td&gt;${percent(s, 70)}&lt;/td&gt;&lt;/tr&gt;</v>
      </c>
      <c r="I141" s="45"/>
      <c r="L141" s="45"/>
    </row>
    <row r="142" spans="1:12" ht="15" customHeight="1" x14ac:dyDescent="0.25">
      <c r="A142" s="71" t="s">
        <v>95</v>
      </c>
      <c r="B142" s="7">
        <v>0.8</v>
      </c>
      <c r="C142" s="78">
        <f t="shared" si="30"/>
        <v>76</v>
      </c>
      <c r="D142" s="8">
        <f t="shared" ref="D142:D203" si="32">IF(ISNUMBER(B142), B142 * 100, "")</f>
        <v>80</v>
      </c>
      <c r="E142" s="8" t="str" cm="1">
        <f t="array" ref="E142">GetColorMatchValue(C142, $C$3:$C$10)</f>
        <v>s</v>
      </c>
      <c r="F142" s="88" t="str">
        <f t="shared" si="31"/>
        <v>&lt;tr&gt;&lt;td&gt;1 Set of 3 Reps &lt;/td&gt;&lt;td&gt;80%&lt;/td&gt;&lt;td&gt;${percent(s, 80)}&lt;/td&gt;&lt;/tr&gt;</v>
      </c>
      <c r="I142" s="45"/>
      <c r="L142" s="45"/>
    </row>
    <row r="143" spans="1:12" ht="15" customHeight="1" x14ac:dyDescent="0.25">
      <c r="A143" s="71" t="s">
        <v>113</v>
      </c>
      <c r="B143" s="7">
        <v>0.85</v>
      </c>
      <c r="C143" s="78">
        <f t="shared" si="30"/>
        <v>80.75</v>
      </c>
      <c r="D143" s="8">
        <f t="shared" si="32"/>
        <v>85</v>
      </c>
      <c r="E143" s="8" t="str" cm="1">
        <f t="array" ref="E143">GetColorMatchValue(C143, $C$3:$C$10)</f>
        <v>s</v>
      </c>
      <c r="F143" s="88" t="str">
        <f t="shared" si="31"/>
        <v>&lt;tr&gt;&lt;td&gt;1 Set of 2 Reps &lt;/td&gt;&lt;td&gt;85%&lt;/td&gt;&lt;td&gt;${percent(s, 85)}&lt;/td&gt;&lt;/tr&gt;</v>
      </c>
      <c r="I143" s="45"/>
      <c r="L143" s="45"/>
    </row>
    <row r="144" spans="1:12" ht="15" customHeight="1" x14ac:dyDescent="0.25">
      <c r="A144" s="71" t="s">
        <v>124</v>
      </c>
      <c r="B144" s="7">
        <v>0.8</v>
      </c>
      <c r="C144" s="78">
        <f t="shared" si="30"/>
        <v>76</v>
      </c>
      <c r="D144" s="8">
        <f t="shared" si="32"/>
        <v>80</v>
      </c>
      <c r="E144" s="8" t="str" cm="1">
        <f t="array" ref="E144">GetColorMatchValue(C144, $C$3:$C$10)</f>
        <v>s</v>
      </c>
      <c r="F144" s="88" t="str">
        <f t="shared" si="31"/>
        <v>&lt;tr&gt;&lt;td&gt;3 Sets of 3 Reps &lt;/td&gt;&lt;td&gt;80%&lt;/td&gt;&lt;td&gt;${percent(s, 80)}&lt;/td&gt;&lt;/tr&gt;</v>
      </c>
      <c r="I144" s="45"/>
      <c r="L144" s="45"/>
    </row>
    <row r="145" spans="1:12" ht="15" customHeight="1" x14ac:dyDescent="0.25">
      <c r="A145" s="71"/>
      <c r="B145" s="8"/>
      <c r="C145" s="76"/>
      <c r="D145" s="8" t="str">
        <f t="shared" si="32"/>
        <v/>
      </c>
      <c r="E145" s="8" t="str" cm="1">
        <f t="array" ref="E145">GetColorMatchValue(C145, $C$3:$C$10)</f>
        <v/>
      </c>
      <c r="F145" s="89" t="s">
        <v>193</v>
      </c>
      <c r="I145" s="45"/>
      <c r="L145" s="45"/>
    </row>
    <row r="146" spans="1:12" ht="15" customHeight="1" x14ac:dyDescent="0.25">
      <c r="A146" s="72" t="s">
        <v>25</v>
      </c>
      <c r="B146" s="8"/>
      <c r="C146" s="76"/>
      <c r="D146" s="8" t="str">
        <f t="shared" si="32"/>
        <v/>
      </c>
      <c r="E146" s="8" t="str" cm="1">
        <f t="array" ref="E146">GetColorMatchValue(C146, $C$3:$C$10)</f>
        <v/>
      </c>
      <c r="F146" s="88" t="str">
        <f>"&lt;tr&gt;&lt;th colspan=""3""&gt;"&amp;A146&amp;"&lt;/th&gt;&lt;/tr&gt;"</f>
        <v>&lt;tr&gt;&lt;th colspan="3"&gt;Hang Clean + Jerk&lt;/th&gt;&lt;/tr&gt;</v>
      </c>
      <c r="I146" s="45"/>
      <c r="L146" s="45"/>
    </row>
    <row r="147" spans="1:12" ht="15" customHeight="1" x14ac:dyDescent="0.25">
      <c r="A147" s="71" t="s">
        <v>108</v>
      </c>
      <c r="B147" s="7">
        <v>0.6</v>
      </c>
      <c r="C147" s="82">
        <f t="shared" ref="C147:C149" si="33">$B$8*B147</f>
        <v>69</v>
      </c>
      <c r="D147" s="8">
        <f t="shared" si="32"/>
        <v>60</v>
      </c>
      <c r="E147" s="8" t="str" cm="1">
        <f t="array" ref="E147">GetColorMatchValue(C147, $C$3:$C$10)</f>
        <v>cj</v>
      </c>
      <c r="F147" s="88" t="str">
        <f t="shared" ref="F147:F149" si="34">"&lt;tr&gt;&lt;td&gt;"&amp;A147&amp;"&lt;/td&gt;&lt;td&gt;"&amp;D147&amp;"%&lt;/td&gt;&lt;td&gt;${percent("&amp;E147&amp;", "&amp;D147&amp;")}&lt;/td&gt;&lt;/tr&gt;"</f>
        <v>&lt;tr&gt;&lt;td&gt;1 Set of 3 Hg.Cl. + 1 Jr. &lt;/td&gt;&lt;td&gt;60%&lt;/td&gt;&lt;td&gt;${percent(cj, 60)}&lt;/td&gt;&lt;/tr&gt;</v>
      </c>
      <c r="I147" s="45"/>
      <c r="L147" s="45"/>
    </row>
    <row r="148" spans="1:12" s="13" customFormat="1" ht="15" customHeight="1" x14ac:dyDescent="0.25">
      <c r="A148" s="71" t="s">
        <v>108</v>
      </c>
      <c r="B148" s="7">
        <v>0.7</v>
      </c>
      <c r="C148" s="82">
        <f t="shared" si="33"/>
        <v>80.5</v>
      </c>
      <c r="D148" s="8">
        <f t="shared" si="32"/>
        <v>70</v>
      </c>
      <c r="E148" s="8" t="str" cm="1">
        <f t="array" ref="E148">GetColorMatchValue(C148, $C$3:$C$10)</f>
        <v>cj</v>
      </c>
      <c r="F148" s="88" t="str">
        <f t="shared" si="34"/>
        <v>&lt;tr&gt;&lt;td&gt;1 Set of 3 Hg.Cl. + 1 Jr. &lt;/td&gt;&lt;td&gt;70%&lt;/td&gt;&lt;td&gt;${percent(cj, 70)}&lt;/td&gt;&lt;/tr&gt;</v>
      </c>
    </row>
    <row r="149" spans="1:12" ht="15" customHeight="1" x14ac:dyDescent="0.25">
      <c r="A149" s="71" t="s">
        <v>153</v>
      </c>
      <c r="B149" s="7">
        <v>0.8</v>
      </c>
      <c r="C149" s="82">
        <f t="shared" si="33"/>
        <v>92</v>
      </c>
      <c r="D149" s="8">
        <f t="shared" si="32"/>
        <v>80</v>
      </c>
      <c r="E149" s="8" t="str" cm="1">
        <f t="array" ref="E149">GetColorMatchValue(C149, $C$3:$C$10)</f>
        <v>cj</v>
      </c>
      <c r="F149" s="88" t="str">
        <f t="shared" si="34"/>
        <v>&lt;tr&gt;&lt;td&gt;3 Sets of 3 Hg.Cl. + 1 Jr. &lt;/td&gt;&lt;td&gt;80%&lt;/td&gt;&lt;td&gt;${percent(cj, 80)}&lt;/td&gt;&lt;/tr&gt;</v>
      </c>
    </row>
    <row r="150" spans="1:12" ht="15" customHeight="1" x14ac:dyDescent="0.25">
      <c r="A150" s="71"/>
      <c r="B150" s="8"/>
      <c r="C150" s="76"/>
      <c r="D150" s="8" t="str">
        <f t="shared" si="32"/>
        <v/>
      </c>
      <c r="E150" s="8" t="str" cm="1">
        <f t="array" ref="E150">GetColorMatchValue(C150, $C$3:$C$10)</f>
        <v/>
      </c>
      <c r="F150" s="89" t="s">
        <v>193</v>
      </c>
    </row>
    <row r="151" spans="1:12" ht="15" customHeight="1" x14ac:dyDescent="0.25">
      <c r="A151" s="72" t="s">
        <v>86</v>
      </c>
      <c r="B151" s="8"/>
      <c r="C151" s="76"/>
      <c r="D151" s="8" t="str">
        <f t="shared" si="32"/>
        <v/>
      </c>
      <c r="E151" s="8" t="str" cm="1">
        <f t="array" ref="E151">GetColorMatchValue(C151, $C$3:$C$10)</f>
        <v/>
      </c>
      <c r="F151" s="88" t="str">
        <f>"&lt;tr&gt;&lt;th colspan=""3""&gt;"&amp;A151&amp;"&lt;/th&gt;&lt;/tr&gt;"</f>
        <v>&lt;tr&gt;&lt;th colspan="3"&gt;Clean Pulls &lt;/th&gt;&lt;/tr&gt;</v>
      </c>
    </row>
    <row r="152" spans="1:12" ht="15" customHeight="1" x14ac:dyDescent="0.25">
      <c r="A152" s="71" t="s">
        <v>105</v>
      </c>
      <c r="B152" s="7">
        <v>0.8</v>
      </c>
      <c r="C152" s="80">
        <f t="shared" ref="C152:C153" si="35">$B$6*B152</f>
        <v>88</v>
      </c>
      <c r="D152" s="8">
        <f t="shared" si="32"/>
        <v>80</v>
      </c>
      <c r="E152" s="8" t="str" cm="1">
        <f t="array" ref="E152">GetColorMatchValue(C152, $C$3:$C$10)</f>
        <v>c</v>
      </c>
      <c r="F152" s="88" t="str">
        <f t="shared" ref="F152:F153" si="36">"&lt;tr&gt;&lt;td&gt;"&amp;A152&amp;"&lt;/td&gt;&lt;td&gt;"&amp;D152&amp;"%&lt;/td&gt;&lt;td&gt;${percent("&amp;E152&amp;", "&amp;D152&amp;")}&lt;/td&gt;&lt;/tr&gt;"</f>
        <v>&lt;tr&gt;&lt;td&gt;1 Set of 4 Reps &lt;/td&gt;&lt;td&gt;80%&lt;/td&gt;&lt;td&gt;${percent(c, 80)}&lt;/td&gt;&lt;/tr&gt;</v>
      </c>
    </row>
    <row r="153" spans="1:12" ht="15" customHeight="1" x14ac:dyDescent="0.25">
      <c r="A153" s="71" t="s">
        <v>118</v>
      </c>
      <c r="B153" s="7">
        <v>0.9</v>
      </c>
      <c r="C153" s="80">
        <f t="shared" si="35"/>
        <v>99</v>
      </c>
      <c r="D153" s="8">
        <f t="shared" si="32"/>
        <v>90</v>
      </c>
      <c r="E153" s="8" t="str" cm="1">
        <f t="array" ref="E153">GetColorMatchValue(C153, $C$3:$C$10)</f>
        <v>c</v>
      </c>
      <c r="F153" s="88" t="str">
        <f t="shared" si="36"/>
        <v>&lt;tr&gt;&lt;td&gt;5 Sets of 4 Reps &lt;/td&gt;&lt;td&gt;90%&lt;/td&gt;&lt;td&gt;${percent(c, 90)}&lt;/td&gt;&lt;/tr&gt;</v>
      </c>
    </row>
    <row r="154" spans="1:12" ht="15" customHeight="1" x14ac:dyDescent="0.25">
      <c r="A154" s="90" t="s">
        <v>11</v>
      </c>
      <c r="B154" s="74" t="s">
        <v>93</v>
      </c>
      <c r="C154" s="75" t="s">
        <v>94</v>
      </c>
      <c r="D154" s="74" t="s">
        <v>192</v>
      </c>
      <c r="E154" s="75" t="s">
        <v>190</v>
      </c>
      <c r="F154" s="91" t="s">
        <v>191</v>
      </c>
    </row>
    <row r="155" spans="1:12" ht="15" customHeight="1" x14ac:dyDescent="0.25">
      <c r="A155" s="72" t="s">
        <v>35</v>
      </c>
      <c r="B155" s="8"/>
      <c r="C155" s="76"/>
      <c r="D155" s="8" t="str">
        <f t="shared" si="32"/>
        <v/>
      </c>
      <c r="E155" s="8" t="str" cm="1">
        <f t="array" ref="E155">GetColorMatchValue(C155, $C$3:$C$10)</f>
        <v/>
      </c>
      <c r="F155" s="88" t="str">
        <f>"&lt;tr&gt;&lt;th colspan=""3""&gt;"&amp;A155&amp;"&lt;/th&gt;&lt;/tr&gt;"</f>
        <v>&lt;tr&gt;&lt;th colspan="3"&gt;Power Clean + Press&lt;/th&gt;&lt;/tr&gt;</v>
      </c>
    </row>
    <row r="156" spans="1:12" ht="15" customHeight="1" x14ac:dyDescent="0.25">
      <c r="A156" s="71" t="s">
        <v>207</v>
      </c>
      <c r="B156" s="8" t="s">
        <v>198</v>
      </c>
      <c r="C156" s="76"/>
      <c r="D156" s="8" t="str">
        <f t="shared" si="32"/>
        <v/>
      </c>
      <c r="E156" s="8" t="str" cm="1">
        <f t="array" ref="E156">GetColorMatchValue(C156, $C$3:$C$10)</f>
        <v/>
      </c>
      <c r="F156" s="88" t="str">
        <f>"&lt;tr&gt;&lt;td&gt;"&amp;A156&amp;" "&amp;B156&amp;"&lt;/td&gt;&lt;/tr&gt;"</f>
        <v>&lt;tr&gt;&lt;td&gt;5 Sets of 1 P.Cl. + 5 Press Work up to weight where you can maintain proper form.&lt;/td&gt;&lt;/tr&gt;</v>
      </c>
    </row>
    <row r="157" spans="1:12" ht="15" customHeight="1" x14ac:dyDescent="0.25">
      <c r="A157" s="71"/>
      <c r="B157" s="8"/>
      <c r="C157" s="76"/>
      <c r="D157" s="8" t="str">
        <f t="shared" si="32"/>
        <v/>
      </c>
      <c r="E157" s="8" t="str" cm="1">
        <f t="array" ref="E157">GetColorMatchValue(C157, $C$3:$C$10)</f>
        <v/>
      </c>
      <c r="F157" s="89" t="s">
        <v>193</v>
      </c>
    </row>
    <row r="158" spans="1:12" ht="15" customHeight="1" x14ac:dyDescent="0.25">
      <c r="A158" s="72" t="s">
        <v>38</v>
      </c>
      <c r="B158" s="8"/>
      <c r="C158" s="76"/>
      <c r="D158" s="8" t="str">
        <f t="shared" si="32"/>
        <v/>
      </c>
      <c r="E158" s="8" t="str" cm="1">
        <f t="array" ref="E158">GetColorMatchValue(C158, $C$3:$C$10)</f>
        <v/>
      </c>
      <c r="F158" s="88" t="str">
        <f>"&lt;tr&gt;&lt;th colspan=""3""&gt;"&amp;A158&amp;"&lt;/th&gt;&lt;/tr&gt;"</f>
        <v>&lt;tr&gt;&lt;th colspan="3"&gt;Power Snatch + Behind the Neck Snatch Grip Push Press + Overhead Squat&lt;/th&gt;&lt;/tr&gt;</v>
      </c>
    </row>
    <row r="159" spans="1:12" ht="15" customHeight="1" x14ac:dyDescent="0.25">
      <c r="A159" s="71" t="s">
        <v>163</v>
      </c>
      <c r="B159" s="7">
        <v>0.6</v>
      </c>
      <c r="C159" s="79">
        <f t="shared" ref="C159:C160" si="37">$B$5*B159</f>
        <v>54</v>
      </c>
      <c r="D159" s="8">
        <f t="shared" si="32"/>
        <v>60</v>
      </c>
      <c r="E159" s="8" t="str" cm="1">
        <f t="array" ref="E159">GetColorMatchValue(C159, $C$3:$C$10)</f>
        <v>os</v>
      </c>
      <c r="F159" s="88" t="str">
        <f t="shared" ref="F159:F160" si="38">"&lt;tr&gt;&lt;td&gt;"&amp;A159&amp;"&lt;/td&gt;&lt;td&gt;"&amp;D159&amp;"%&lt;/td&gt;&lt;td&gt;${percent("&amp;E159&amp;", "&amp;D159&amp;")}&lt;/td&gt;&lt;/tr&gt;"</f>
        <v>&lt;tr&gt;&lt;td&gt;1 Set of 3 P.Sn. + 3 B.N.Sn.G.P.Pr. + 3 Oh.S. &lt;/td&gt;&lt;td&gt;60%&lt;/td&gt;&lt;td&gt;${percent(os, 60)}&lt;/td&gt;&lt;/tr&gt;</v>
      </c>
    </row>
    <row r="160" spans="1:12" ht="15" customHeight="1" x14ac:dyDescent="0.25">
      <c r="A160" s="71" t="s">
        <v>164</v>
      </c>
      <c r="B160" s="7">
        <v>0.7</v>
      </c>
      <c r="C160" s="79">
        <f t="shared" si="37"/>
        <v>62.999999999999993</v>
      </c>
      <c r="D160" s="8">
        <f t="shared" si="32"/>
        <v>70</v>
      </c>
      <c r="E160" s="8" t="str" cm="1">
        <f t="array" ref="E160">GetColorMatchValue(C160, $C$3:$C$10)</f>
        <v>os</v>
      </c>
      <c r="F160" s="88" t="str">
        <f t="shared" si="38"/>
        <v>&lt;tr&gt;&lt;td&gt;3 Sets of 3 P.Sn. + 3 B.N.Sn.G.P.Pr. + 3 Oh.S. &lt;/td&gt;&lt;td&gt;70%&lt;/td&gt;&lt;td&gt;${percent(os, 70)}&lt;/td&gt;&lt;/tr&gt;</v>
      </c>
    </row>
    <row r="161" spans="1:6" ht="15" customHeight="1" x14ac:dyDescent="0.25">
      <c r="A161" s="71"/>
      <c r="B161" s="8"/>
      <c r="C161" s="76"/>
      <c r="D161" s="8" t="str">
        <f t="shared" si="32"/>
        <v/>
      </c>
      <c r="E161" s="8" t="str" cm="1">
        <f t="array" ref="E161">GetColorMatchValue(C161, $C$3:$C$10)</f>
        <v/>
      </c>
      <c r="F161" s="89" t="s">
        <v>193</v>
      </c>
    </row>
    <row r="162" spans="1:6" ht="15" customHeight="1" x14ac:dyDescent="0.25">
      <c r="A162" s="72" t="s">
        <v>39</v>
      </c>
      <c r="B162" s="8"/>
      <c r="C162" s="76"/>
      <c r="D162" s="8" t="str">
        <f t="shared" si="32"/>
        <v/>
      </c>
      <c r="E162" s="8" t="str" cm="1">
        <f t="array" ref="E162">GetColorMatchValue(C162, $C$3:$C$10)</f>
        <v/>
      </c>
      <c r="F162" s="88" t="str">
        <f>"&lt;tr&gt;&lt;th colspan=""3""&gt;"&amp;A162&amp;"&lt;/th&gt;&lt;/tr&gt;"</f>
        <v>&lt;tr&gt;&lt;th colspan="3"&gt;Power Clean + Front Squat + Jerk&lt;/th&gt;&lt;/tr&gt;</v>
      </c>
    </row>
    <row r="163" spans="1:6" ht="15" customHeight="1" x14ac:dyDescent="0.25">
      <c r="A163" s="71" t="s">
        <v>165</v>
      </c>
      <c r="B163" s="7">
        <v>0.6</v>
      </c>
      <c r="C163" s="82">
        <f t="shared" ref="C163:C164" si="39">$B$8*B163</f>
        <v>69</v>
      </c>
      <c r="D163" s="8">
        <f t="shared" si="32"/>
        <v>60</v>
      </c>
      <c r="E163" s="8" t="str" cm="1">
        <f t="array" ref="E163">GetColorMatchValue(C163, $C$3:$C$10)</f>
        <v>cj</v>
      </c>
      <c r="F163" s="88" t="str">
        <f t="shared" ref="F163:F164" si="40">"&lt;tr&gt;&lt;td&gt;"&amp;A163&amp;"&lt;/td&gt;&lt;td&gt;"&amp;D163&amp;"%&lt;/td&gt;&lt;td&gt;${percent("&amp;E163&amp;", "&amp;D163&amp;")}&lt;/td&gt;&lt;/tr&gt;"</f>
        <v>&lt;tr&gt;&lt;td&gt;1 Set of 3 P.Cl. + 3 F.S. + 3 Jr. &lt;/td&gt;&lt;td&gt;60%&lt;/td&gt;&lt;td&gt;${percent(cj, 60)}&lt;/td&gt;&lt;/tr&gt;</v>
      </c>
    </row>
    <row r="164" spans="1:6" ht="15" customHeight="1" x14ac:dyDescent="0.25">
      <c r="A164" s="71" t="s">
        <v>166</v>
      </c>
      <c r="B164" s="7">
        <v>0.7</v>
      </c>
      <c r="C164" s="82">
        <f t="shared" si="39"/>
        <v>80.5</v>
      </c>
      <c r="D164" s="8">
        <f t="shared" si="32"/>
        <v>70</v>
      </c>
      <c r="E164" s="8" t="str" cm="1">
        <f t="array" ref="E164">GetColorMatchValue(C164, $C$3:$C$10)</f>
        <v>cj</v>
      </c>
      <c r="F164" s="88" t="str">
        <f t="shared" si="40"/>
        <v>&lt;tr&gt;&lt;td&gt;3 Sets of 3 P.Cl. + 3 F.S. + 3 Jr. &lt;/td&gt;&lt;td&gt;70%&lt;/td&gt;&lt;td&gt;${percent(cj, 70)}&lt;/td&gt;&lt;/tr&gt;</v>
      </c>
    </row>
    <row r="165" spans="1:6" ht="15" customHeight="1" x14ac:dyDescent="0.25">
      <c r="A165" s="71"/>
      <c r="B165" s="8"/>
      <c r="C165" s="76"/>
      <c r="D165" s="8" t="str">
        <f t="shared" si="32"/>
        <v/>
      </c>
      <c r="E165" s="8" t="str" cm="1">
        <f t="array" ref="E165">GetColorMatchValue(C165, $C$3:$C$10)</f>
        <v/>
      </c>
      <c r="F165" s="89" t="s">
        <v>193</v>
      </c>
    </row>
    <row r="166" spans="1:6" ht="15" customHeight="1" x14ac:dyDescent="0.25">
      <c r="A166" s="72" t="s">
        <v>83</v>
      </c>
      <c r="B166" s="8"/>
      <c r="C166" s="76"/>
      <c r="D166" s="8" t="str">
        <f t="shared" si="32"/>
        <v/>
      </c>
      <c r="E166" s="8" t="str" cm="1">
        <f t="array" ref="E166">GetColorMatchValue(C166, $C$3:$C$10)</f>
        <v/>
      </c>
      <c r="F166" s="88" t="str">
        <f>"&lt;tr&gt;&lt;th colspan=""3""&gt;"&amp;A166&amp;"&lt;/th&gt;&lt;/tr&gt;"</f>
        <v>&lt;tr&gt;&lt;th colspan="3"&gt;Snatch Pulls &lt;/th&gt;&lt;/tr&gt;</v>
      </c>
    </row>
    <row r="167" spans="1:6" ht="15" customHeight="1" x14ac:dyDescent="0.25">
      <c r="A167" s="71" t="s">
        <v>104</v>
      </c>
      <c r="B167" s="7">
        <v>0.9</v>
      </c>
      <c r="C167" s="78">
        <f>$B$7*B167</f>
        <v>85.5</v>
      </c>
      <c r="D167" s="8">
        <f t="shared" si="32"/>
        <v>90</v>
      </c>
      <c r="E167" s="8" t="str" cm="1">
        <f t="array" ref="E167">GetColorMatchValue(C167, $C$3:$C$10)</f>
        <v>s</v>
      </c>
      <c r="F167" s="88" t="str">
        <f t="shared" ref="F167" si="41">"&lt;tr&gt;&lt;td&gt;"&amp;A167&amp;"&lt;/td&gt;&lt;td&gt;"&amp;D167&amp;"%&lt;/td&gt;&lt;td&gt;${percent("&amp;E167&amp;", "&amp;D167&amp;")}&lt;/td&gt;&lt;/tr&gt;"</f>
        <v>&lt;tr&gt;&lt;td&gt;4 Sets of 4 Reps &lt;/td&gt;&lt;td&gt;90%&lt;/td&gt;&lt;td&gt;${percent(s, 90)}&lt;/td&gt;&lt;/tr&gt;</v>
      </c>
    </row>
    <row r="168" spans="1:6" ht="15" customHeight="1" x14ac:dyDescent="0.25">
      <c r="A168" s="71"/>
      <c r="B168" s="8"/>
      <c r="C168" s="76"/>
      <c r="D168" s="8" t="str">
        <f t="shared" si="32"/>
        <v/>
      </c>
      <c r="E168" s="8" t="str" cm="1">
        <f t="array" ref="E168">GetColorMatchValue(C168, $C$3:$C$10)</f>
        <v/>
      </c>
      <c r="F168" s="89" t="s">
        <v>193</v>
      </c>
    </row>
    <row r="169" spans="1:6" ht="15" customHeight="1" x14ac:dyDescent="0.25">
      <c r="A169" s="72" t="s">
        <v>0</v>
      </c>
      <c r="B169" s="8"/>
      <c r="C169" s="76"/>
      <c r="D169" s="8" t="str">
        <f t="shared" si="32"/>
        <v/>
      </c>
      <c r="E169" s="8" t="str" cm="1">
        <f t="array" ref="E169">GetColorMatchValue(C169, $C$3:$C$10)</f>
        <v/>
      </c>
      <c r="F169" s="88" t="str">
        <f>"&lt;tr&gt;&lt;th colspan=""3""&gt;"&amp;A169&amp;"&lt;/th&gt;&lt;/tr&gt;"</f>
        <v>&lt;tr&gt;&lt;th colspan="3"&gt;Back Squat&lt;/th&gt;&lt;/tr&gt;</v>
      </c>
    </row>
    <row r="170" spans="1:6" ht="15" customHeight="1" x14ac:dyDescent="0.25">
      <c r="A170" s="71" t="s">
        <v>105</v>
      </c>
      <c r="B170" s="7">
        <v>0.6</v>
      </c>
      <c r="C170" s="77">
        <f t="shared" ref="C170:C175" si="42">$B$3*B170</f>
        <v>120</v>
      </c>
      <c r="D170" s="8">
        <f t="shared" si="32"/>
        <v>60</v>
      </c>
      <c r="E170" s="8" t="str" cm="1">
        <f t="array" ref="E170">GetColorMatchValue(C170, $C$3:$C$10)</f>
        <v>bs</v>
      </c>
      <c r="F170" s="88" t="str">
        <f t="shared" ref="F170:F175" si="43">"&lt;tr&gt;&lt;td&gt;"&amp;A170&amp;"&lt;/td&gt;&lt;td&gt;"&amp;D170&amp;"%&lt;/td&gt;&lt;td&gt;${percent("&amp;E170&amp;", "&amp;D170&amp;")}&lt;/td&gt;&lt;/tr&gt;"</f>
        <v>&lt;tr&gt;&lt;td&gt;1 Set of 4 Reps &lt;/td&gt;&lt;td&gt;60%&lt;/td&gt;&lt;td&gt;${percent(bs, 60)}&lt;/td&gt;&lt;/tr&gt;</v>
      </c>
    </row>
    <row r="171" spans="1:6" ht="15" customHeight="1" x14ac:dyDescent="0.25">
      <c r="A171" s="71" t="s">
        <v>105</v>
      </c>
      <c r="B171" s="7">
        <v>0.7</v>
      </c>
      <c r="C171" s="77">
        <f t="shared" si="42"/>
        <v>140</v>
      </c>
      <c r="D171" s="8">
        <f t="shared" si="32"/>
        <v>70</v>
      </c>
      <c r="E171" s="8" t="str" cm="1">
        <f t="array" ref="E171">GetColorMatchValue(C171, $C$3:$C$10)</f>
        <v>bs</v>
      </c>
      <c r="F171" s="88" t="str">
        <f t="shared" si="43"/>
        <v>&lt;tr&gt;&lt;td&gt;1 Set of 4 Reps &lt;/td&gt;&lt;td&gt;70%&lt;/td&gt;&lt;td&gt;${percent(bs, 70)}&lt;/td&gt;&lt;/tr&gt;</v>
      </c>
    </row>
    <row r="172" spans="1:6" ht="15" customHeight="1" x14ac:dyDescent="0.25">
      <c r="A172" s="71" t="s">
        <v>105</v>
      </c>
      <c r="B172" s="7">
        <v>0.8</v>
      </c>
      <c r="C172" s="77">
        <f t="shared" si="42"/>
        <v>160</v>
      </c>
      <c r="D172" s="8">
        <f t="shared" si="32"/>
        <v>80</v>
      </c>
      <c r="E172" s="8" t="str" cm="1">
        <f t="array" ref="E172">GetColorMatchValue(C172, $C$3:$C$10)</f>
        <v>bs</v>
      </c>
      <c r="F172" s="88" t="str">
        <f t="shared" si="43"/>
        <v>&lt;tr&gt;&lt;td&gt;1 Set of 4 Reps &lt;/td&gt;&lt;td&gt;80%&lt;/td&gt;&lt;td&gt;${percent(bs, 80)}&lt;/td&gt;&lt;/tr&gt;</v>
      </c>
    </row>
    <row r="173" spans="1:6" ht="15" customHeight="1" x14ac:dyDescent="0.25">
      <c r="A173" s="71" t="s">
        <v>95</v>
      </c>
      <c r="B173" s="7">
        <v>0.85</v>
      </c>
      <c r="C173" s="77">
        <f t="shared" si="42"/>
        <v>170</v>
      </c>
      <c r="D173" s="8">
        <f t="shared" si="32"/>
        <v>85</v>
      </c>
      <c r="E173" s="8" t="str" cm="1">
        <f t="array" ref="E173">GetColorMatchValue(C173, $C$3:$C$10)</f>
        <v>bs</v>
      </c>
      <c r="F173" s="88" t="str">
        <f t="shared" si="43"/>
        <v>&lt;tr&gt;&lt;td&gt;1 Set of 3 Reps &lt;/td&gt;&lt;td&gt;85%&lt;/td&gt;&lt;td&gt;${percent(bs, 85)}&lt;/td&gt;&lt;/tr&gt;</v>
      </c>
    </row>
    <row r="174" spans="1:6" ht="15" customHeight="1" x14ac:dyDescent="0.25">
      <c r="A174" s="71" t="s">
        <v>105</v>
      </c>
      <c r="B174" s="7">
        <v>0.8</v>
      </c>
      <c r="C174" s="77">
        <f t="shared" si="42"/>
        <v>160</v>
      </c>
      <c r="D174" s="8">
        <f t="shared" si="32"/>
        <v>80</v>
      </c>
      <c r="E174" s="8" t="str" cm="1">
        <f t="array" ref="E174">GetColorMatchValue(C174, $C$3:$C$10)</f>
        <v>bs</v>
      </c>
      <c r="F174" s="88" t="str">
        <f t="shared" si="43"/>
        <v>&lt;tr&gt;&lt;td&gt;1 Set of 4 Reps &lt;/td&gt;&lt;td&gt;80%&lt;/td&gt;&lt;td&gt;${percent(bs, 80)}&lt;/td&gt;&lt;/tr&gt;</v>
      </c>
    </row>
    <row r="175" spans="1:6" ht="15" customHeight="1" x14ac:dyDescent="0.25">
      <c r="A175" s="71" t="s">
        <v>113</v>
      </c>
      <c r="B175" s="7">
        <v>0.85</v>
      </c>
      <c r="C175" s="77">
        <f t="shared" si="42"/>
        <v>170</v>
      </c>
      <c r="D175" s="8">
        <f t="shared" si="32"/>
        <v>85</v>
      </c>
      <c r="E175" s="8" t="str" cm="1">
        <f t="array" ref="E175">GetColorMatchValue(C175, $C$3:$C$10)</f>
        <v>bs</v>
      </c>
      <c r="F175" s="88" t="str">
        <f t="shared" si="43"/>
        <v>&lt;tr&gt;&lt;td&gt;1 Set of 2 Reps &lt;/td&gt;&lt;td&gt;85%&lt;/td&gt;&lt;td&gt;${percent(bs, 85)}&lt;/td&gt;&lt;/tr&gt;</v>
      </c>
    </row>
    <row r="176" spans="1:6" ht="15" customHeight="1" x14ac:dyDescent="0.25">
      <c r="A176" s="71"/>
      <c r="B176" s="8"/>
      <c r="C176" s="76"/>
      <c r="D176" s="8" t="str">
        <f t="shared" si="32"/>
        <v/>
      </c>
      <c r="E176" s="8" t="str" cm="1">
        <f t="array" ref="E176">GetColorMatchValue(C176, $C$3:$C$10)</f>
        <v/>
      </c>
      <c r="F176" s="89" t="s">
        <v>193</v>
      </c>
    </row>
    <row r="177" spans="1:12" ht="15" customHeight="1" x14ac:dyDescent="0.25">
      <c r="A177" s="72" t="s">
        <v>27</v>
      </c>
      <c r="B177" s="8"/>
      <c r="C177" s="76"/>
      <c r="D177" s="8" t="str">
        <f t="shared" si="32"/>
        <v/>
      </c>
      <c r="E177" s="8" t="str" cm="1">
        <f t="array" ref="E177">GetColorMatchValue(C177, $C$3:$C$10)</f>
        <v/>
      </c>
      <c r="F177" s="88" t="str">
        <f>"&lt;tr&gt;&lt;th colspan=""3""&gt;"&amp;A177&amp;"&lt;/th&gt;&lt;/tr&gt;"</f>
        <v>&lt;tr&gt;&lt;th colspan="3"&gt;Abdominals&lt;/th&gt;&lt;/tr&gt;</v>
      </c>
    </row>
    <row r="178" spans="1:12" ht="15" customHeight="1" x14ac:dyDescent="0.25">
      <c r="A178" s="71" t="s">
        <v>197</v>
      </c>
      <c r="B178" s="8" t="s">
        <v>195</v>
      </c>
      <c r="C178" s="76"/>
      <c r="D178" s="8" t="str">
        <f t="shared" si="32"/>
        <v/>
      </c>
      <c r="E178" s="8" t="str" cm="1">
        <f t="array" ref="E178">GetColorMatchValue(C178, $C$3:$C$10)</f>
        <v/>
      </c>
      <c r="F178" s="88" t="str">
        <f>"&lt;tr&gt;&lt;td colspan=""3""&gt;"&amp;A178&amp;" "&amp;B178&amp;"&lt;/td&gt;&lt;/tr&gt;"</f>
        <v>&lt;tr&gt;&lt;td colspan="3"&gt;3 Sets of 25 Reps Athlete's choice on exercise selection.&lt;/td&gt;&lt;/tr&gt;</v>
      </c>
    </row>
    <row r="179" spans="1:12" ht="15" customHeight="1" x14ac:dyDescent="0.25">
      <c r="A179" s="90" t="s">
        <v>12</v>
      </c>
      <c r="B179" s="74" t="s">
        <v>93</v>
      </c>
      <c r="C179" s="75" t="s">
        <v>94</v>
      </c>
      <c r="D179" s="74" t="s">
        <v>192</v>
      </c>
      <c r="E179" s="75" t="s">
        <v>190</v>
      </c>
      <c r="F179" s="91" t="s">
        <v>191</v>
      </c>
      <c r="H179" s="62"/>
      <c r="I179" s="62"/>
      <c r="K179" s="62"/>
      <c r="L179" s="62"/>
    </row>
    <row r="180" spans="1:12" ht="15" customHeight="1" x14ac:dyDescent="0.25">
      <c r="A180" s="72" t="s">
        <v>0</v>
      </c>
      <c r="B180" s="8"/>
      <c r="C180" s="76"/>
      <c r="D180" s="8" t="str">
        <f t="shared" si="32"/>
        <v/>
      </c>
      <c r="E180" s="8" t="str" cm="1">
        <f t="array" ref="E180">GetColorMatchValue(C180, $C$3:$C$10)</f>
        <v/>
      </c>
      <c r="F180" s="88" t="str">
        <f>"&lt;tr&gt;&lt;th colspan=""3""&gt;"&amp;A180&amp;"&lt;/th&gt;&lt;/tr&gt;"</f>
        <v>&lt;tr&gt;&lt;th colspan="3"&gt;Back Squat&lt;/th&gt;&lt;/tr&gt;</v>
      </c>
      <c r="H180" s="62"/>
      <c r="I180" s="62"/>
      <c r="K180" s="62"/>
      <c r="L180" s="62"/>
    </row>
    <row r="181" spans="1:12" ht="15" customHeight="1" x14ac:dyDescent="0.25">
      <c r="A181" s="71" t="s">
        <v>95</v>
      </c>
      <c r="B181" s="7">
        <v>0.6</v>
      </c>
      <c r="C181" s="77">
        <f>$B$3*B181</f>
        <v>120</v>
      </c>
      <c r="D181" s="8">
        <f t="shared" si="32"/>
        <v>60</v>
      </c>
      <c r="E181" s="8" t="str" cm="1">
        <f t="array" ref="E181">GetColorMatchValue(C181, $C$3:$C$10)</f>
        <v>bs</v>
      </c>
      <c r="F181" s="88" t="str">
        <f t="shared" ref="F181:F184" si="44">"&lt;tr&gt;&lt;td&gt;"&amp;A181&amp;"&lt;/td&gt;&lt;td&gt;"&amp;D181&amp;"%&lt;/td&gt;&lt;td&gt;${percent("&amp;E181&amp;", "&amp;D181&amp;")}&lt;/td&gt;&lt;/tr&gt;"</f>
        <v>&lt;tr&gt;&lt;td&gt;1 Set of 3 Reps &lt;/td&gt;&lt;td&gt;60%&lt;/td&gt;&lt;td&gt;${percent(bs, 60)}&lt;/td&gt;&lt;/tr&gt;</v>
      </c>
      <c r="H181" s="62"/>
      <c r="I181" s="62"/>
      <c r="K181" s="62"/>
      <c r="L181" s="62"/>
    </row>
    <row r="182" spans="1:12" ht="15" customHeight="1" x14ac:dyDescent="0.25">
      <c r="A182" s="71" t="s">
        <v>112</v>
      </c>
      <c r="B182" s="7">
        <v>0.7</v>
      </c>
      <c r="C182" s="77">
        <f>$B$3*B182</f>
        <v>140</v>
      </c>
      <c r="D182" s="8">
        <f t="shared" si="32"/>
        <v>70</v>
      </c>
      <c r="E182" s="8" t="str" cm="1">
        <f t="array" ref="E182">GetColorMatchValue(C182, $C$3:$C$10)</f>
        <v>bs</v>
      </c>
      <c r="F182" s="88" t="str">
        <f t="shared" si="44"/>
        <v>&lt;tr&gt;&lt;td&gt;1 Set of 3 Rerps &lt;/td&gt;&lt;td&gt;70%&lt;/td&gt;&lt;td&gt;${percent(bs, 70)}&lt;/td&gt;&lt;/tr&gt;</v>
      </c>
      <c r="H182" s="62"/>
      <c r="I182" s="62"/>
      <c r="K182" s="62"/>
      <c r="L182" s="62"/>
    </row>
    <row r="183" spans="1:12" ht="15" customHeight="1" x14ac:dyDescent="0.25">
      <c r="A183" s="71" t="s">
        <v>106</v>
      </c>
      <c r="B183" s="7">
        <v>0.8</v>
      </c>
      <c r="C183" s="77">
        <f>$B$3*B183</f>
        <v>160</v>
      </c>
      <c r="D183" s="8">
        <f t="shared" si="32"/>
        <v>80</v>
      </c>
      <c r="E183" s="8" t="str" cm="1">
        <f t="array" ref="E183">GetColorMatchValue(C183, $C$3:$C$10)</f>
        <v>bs</v>
      </c>
      <c r="F183" s="88" t="str">
        <f t="shared" si="44"/>
        <v>&lt;tr&gt;&lt;td&gt;2 Sets of 3 Reps &lt;/td&gt;&lt;td&gt;80%&lt;/td&gt;&lt;td&gt;${percent(bs, 80)}&lt;/td&gt;&lt;/tr&gt;</v>
      </c>
      <c r="H183" s="62"/>
      <c r="I183" s="62"/>
      <c r="K183" s="62"/>
      <c r="L183" s="62"/>
    </row>
    <row r="184" spans="1:12" ht="15" customHeight="1" x14ac:dyDescent="0.25">
      <c r="A184" s="71" t="s">
        <v>113</v>
      </c>
      <c r="B184" s="7">
        <v>0.85</v>
      </c>
      <c r="C184" s="77">
        <f>$B$3*B184</f>
        <v>170</v>
      </c>
      <c r="D184" s="8">
        <f t="shared" si="32"/>
        <v>85</v>
      </c>
      <c r="E184" s="8" t="str" cm="1">
        <f t="array" ref="E184">GetColorMatchValue(C184, $C$3:$C$10)</f>
        <v>bs</v>
      </c>
      <c r="F184" s="88" t="str">
        <f t="shared" si="44"/>
        <v>&lt;tr&gt;&lt;td&gt;1 Set of 2 Reps &lt;/td&gt;&lt;td&gt;85%&lt;/td&gt;&lt;td&gt;${percent(bs, 85)}&lt;/td&gt;&lt;/tr&gt;</v>
      </c>
      <c r="H184" s="62"/>
      <c r="I184" s="62"/>
      <c r="K184" s="62"/>
      <c r="L184" s="62"/>
    </row>
    <row r="185" spans="1:12" ht="15" customHeight="1" x14ac:dyDescent="0.25">
      <c r="A185" s="71"/>
      <c r="B185" s="8"/>
      <c r="C185" s="76"/>
      <c r="D185" s="8" t="str">
        <f t="shared" si="32"/>
        <v/>
      </c>
      <c r="E185" s="8" t="str" cm="1">
        <f t="array" ref="E185">GetColorMatchValue(C185, $C$3:$C$10)</f>
        <v/>
      </c>
      <c r="F185" s="89" t="s">
        <v>193</v>
      </c>
      <c r="H185" s="62"/>
      <c r="I185" s="62"/>
      <c r="K185" s="62"/>
      <c r="L185" s="62"/>
    </row>
    <row r="186" spans="1:12" ht="15" customHeight="1" x14ac:dyDescent="0.25">
      <c r="A186" s="72" t="s">
        <v>42</v>
      </c>
      <c r="B186" s="8"/>
      <c r="C186" s="76"/>
      <c r="D186" s="8" t="str">
        <f t="shared" si="32"/>
        <v/>
      </c>
      <c r="E186" s="8" t="str" cm="1">
        <f t="array" ref="E186">GetColorMatchValue(C186, $C$3:$C$10)</f>
        <v/>
      </c>
      <c r="F186" s="88" t="str">
        <f>"&lt;tr&gt;&lt;th colspan=""3""&gt;"&amp;A186&amp;"&lt;/th&gt;&lt;/tr&gt;"</f>
        <v>&lt;tr&gt;&lt;th colspan="3"&gt;Snatch&lt;/th&gt;&lt;/tr&gt;</v>
      </c>
      <c r="H186" s="62"/>
      <c r="I186" s="62"/>
      <c r="K186" s="62"/>
      <c r="L186" s="62"/>
    </row>
    <row r="187" spans="1:12" ht="15" customHeight="1" x14ac:dyDescent="0.25">
      <c r="A187" s="71" t="s">
        <v>114</v>
      </c>
      <c r="B187" s="7">
        <v>0.6</v>
      </c>
      <c r="C187" s="78">
        <f t="shared" ref="C187:C192" si="45">$B$7*B187</f>
        <v>57</v>
      </c>
      <c r="D187" s="8">
        <f t="shared" si="32"/>
        <v>60</v>
      </c>
      <c r="E187" s="8" t="str" cm="1">
        <f t="array" ref="E187">GetColorMatchValue(C187, $C$3:$C$10)</f>
        <v>s</v>
      </c>
      <c r="F187" s="88" t="str">
        <f t="shared" ref="F187:F192" si="46">"&lt;tr&gt;&lt;td&gt;"&amp;A187&amp;"&lt;/td&gt;&lt;td&gt;"&amp;D187&amp;"%&lt;/td&gt;&lt;td&gt;${percent("&amp;E187&amp;", "&amp;D187&amp;")}&lt;/td&gt;&lt;/tr&gt;"</f>
        <v>&lt;tr&gt;&lt;td&gt;1 Set of 3 Reps &lt;/td&gt;&lt;td&gt;60%&lt;/td&gt;&lt;td&gt;${percent(s, 60)}&lt;/td&gt;&lt;/tr&gt;</v>
      </c>
      <c r="H187" s="62"/>
      <c r="I187" s="62"/>
      <c r="K187" s="62"/>
      <c r="L187" s="62"/>
    </row>
    <row r="188" spans="1:12" ht="15" customHeight="1" x14ac:dyDescent="0.25">
      <c r="A188" s="71" t="s">
        <v>95</v>
      </c>
      <c r="B188" s="7">
        <v>0.7</v>
      </c>
      <c r="C188" s="78">
        <f t="shared" si="45"/>
        <v>66.5</v>
      </c>
      <c r="D188" s="8">
        <f t="shared" si="32"/>
        <v>70</v>
      </c>
      <c r="E188" s="8" t="str" cm="1">
        <f t="array" ref="E188">GetColorMatchValue(C188, $C$3:$C$10)</f>
        <v>s</v>
      </c>
      <c r="F188" s="88" t="str">
        <f t="shared" si="46"/>
        <v>&lt;tr&gt;&lt;td&gt;1 Set of 3 Reps &lt;/td&gt;&lt;td&gt;70%&lt;/td&gt;&lt;td&gt;${percent(s, 70)}&lt;/td&gt;&lt;/tr&gt;</v>
      </c>
      <c r="H188" s="62"/>
      <c r="I188" s="62"/>
      <c r="K188" s="62"/>
      <c r="L188" s="62"/>
    </row>
    <row r="189" spans="1:12" ht="15" customHeight="1" x14ac:dyDescent="0.25">
      <c r="A189" s="71" t="s">
        <v>95</v>
      </c>
      <c r="B189" s="7">
        <v>0.8</v>
      </c>
      <c r="C189" s="78">
        <f t="shared" si="45"/>
        <v>76</v>
      </c>
      <c r="D189" s="8">
        <f t="shared" si="32"/>
        <v>80</v>
      </c>
      <c r="E189" s="8" t="str" cm="1">
        <f t="array" ref="E189">GetColorMatchValue(C189, $C$3:$C$10)</f>
        <v>s</v>
      </c>
      <c r="F189" s="88" t="str">
        <f t="shared" si="46"/>
        <v>&lt;tr&gt;&lt;td&gt;1 Set of 3 Reps &lt;/td&gt;&lt;td&gt;80%&lt;/td&gt;&lt;td&gt;${percent(s, 80)}&lt;/td&gt;&lt;/tr&gt;</v>
      </c>
      <c r="H189" s="62"/>
      <c r="I189" s="62"/>
      <c r="K189" s="62"/>
      <c r="L189" s="62"/>
    </row>
    <row r="190" spans="1:12" ht="15" customHeight="1" x14ac:dyDescent="0.25">
      <c r="A190" s="71" t="s">
        <v>98</v>
      </c>
      <c r="B190" s="7">
        <v>0.85</v>
      </c>
      <c r="C190" s="78">
        <f t="shared" si="45"/>
        <v>80.75</v>
      </c>
      <c r="D190" s="8">
        <f t="shared" si="32"/>
        <v>85</v>
      </c>
      <c r="E190" s="8" t="str" cm="1">
        <f t="array" ref="E190">GetColorMatchValue(C190, $C$3:$C$10)</f>
        <v>s</v>
      </c>
      <c r="F190" s="88" t="str">
        <f t="shared" si="46"/>
        <v>&lt;tr&gt;&lt;td&gt;1 Set of 1 Rep &lt;/td&gt;&lt;td&gt;85%&lt;/td&gt;&lt;td&gt;${percent(s, 85)}&lt;/td&gt;&lt;/tr&gt;</v>
      </c>
      <c r="H190" s="62"/>
      <c r="I190" s="62"/>
      <c r="K190" s="62"/>
      <c r="L190" s="62"/>
    </row>
    <row r="191" spans="1:12" ht="15" customHeight="1" x14ac:dyDescent="0.25">
      <c r="A191" s="71" t="s">
        <v>113</v>
      </c>
      <c r="B191" s="7">
        <v>0.8</v>
      </c>
      <c r="C191" s="78">
        <f t="shared" si="45"/>
        <v>76</v>
      </c>
      <c r="D191" s="8">
        <f t="shared" si="32"/>
        <v>80</v>
      </c>
      <c r="E191" s="8" t="str" cm="1">
        <f t="array" ref="E191">GetColorMatchValue(C191, $C$3:$C$10)</f>
        <v>s</v>
      </c>
      <c r="F191" s="88" t="str">
        <f t="shared" si="46"/>
        <v>&lt;tr&gt;&lt;td&gt;1 Set of 2 Reps &lt;/td&gt;&lt;td&gt;80%&lt;/td&gt;&lt;td&gt;${percent(s, 80)}&lt;/td&gt;&lt;/tr&gt;</v>
      </c>
      <c r="H191" s="62"/>
      <c r="I191" s="62"/>
      <c r="K191" s="62"/>
      <c r="L191" s="62"/>
    </row>
    <row r="192" spans="1:12" ht="15" customHeight="1" x14ac:dyDescent="0.25">
      <c r="A192" s="71" t="s">
        <v>98</v>
      </c>
      <c r="B192" s="7">
        <v>0.85</v>
      </c>
      <c r="C192" s="78">
        <f t="shared" si="45"/>
        <v>80.75</v>
      </c>
      <c r="D192" s="8">
        <f t="shared" si="32"/>
        <v>85</v>
      </c>
      <c r="E192" s="8" t="str" cm="1">
        <f t="array" ref="E192">GetColorMatchValue(C192, $C$3:$C$10)</f>
        <v>s</v>
      </c>
      <c r="F192" s="88" t="str">
        <f t="shared" si="46"/>
        <v>&lt;tr&gt;&lt;td&gt;1 Set of 1 Rep &lt;/td&gt;&lt;td&gt;85%&lt;/td&gt;&lt;td&gt;${percent(s, 85)}&lt;/td&gt;&lt;/tr&gt;</v>
      </c>
      <c r="H192" s="62"/>
      <c r="I192" s="62"/>
      <c r="K192" s="62"/>
      <c r="L192" s="62"/>
    </row>
    <row r="193" spans="1:12" ht="15" customHeight="1" x14ac:dyDescent="0.25">
      <c r="A193" s="71"/>
      <c r="B193" s="8"/>
      <c r="C193" s="76"/>
      <c r="D193" s="8" t="str">
        <f t="shared" si="32"/>
        <v/>
      </c>
      <c r="E193" s="8" t="str" cm="1">
        <f t="array" ref="E193">GetColorMatchValue(C193, $C$3:$C$10)</f>
        <v/>
      </c>
      <c r="F193" s="89" t="s">
        <v>193</v>
      </c>
      <c r="H193" s="62"/>
      <c r="I193" s="62"/>
      <c r="K193" s="62"/>
      <c r="L193" s="62"/>
    </row>
    <row r="194" spans="1:12" ht="15" customHeight="1" x14ac:dyDescent="0.25">
      <c r="A194" s="72" t="s">
        <v>43</v>
      </c>
      <c r="B194" s="8"/>
      <c r="C194" s="76"/>
      <c r="D194" s="8" t="str">
        <f t="shared" si="32"/>
        <v/>
      </c>
      <c r="E194" s="8" t="str" cm="1">
        <f t="array" ref="E194">GetColorMatchValue(C194, $C$3:$C$10)</f>
        <v/>
      </c>
      <c r="F194" s="88" t="str">
        <f>"&lt;tr&gt;&lt;th colspan=""3""&gt;"&amp;A194&amp;"&lt;/th&gt;&lt;/tr&gt;"</f>
        <v>&lt;tr&gt;&lt;th colspan="3"&gt;Clean + Jerk&lt;/th&gt;&lt;/tr&gt;</v>
      </c>
      <c r="H194" s="62"/>
      <c r="I194" s="62"/>
      <c r="K194" s="62"/>
      <c r="L194" s="62"/>
    </row>
    <row r="195" spans="1:12" ht="15" customHeight="1" x14ac:dyDescent="0.25">
      <c r="A195" s="71" t="s">
        <v>115</v>
      </c>
      <c r="B195" s="7">
        <v>0.6</v>
      </c>
      <c r="C195" s="82">
        <f t="shared" ref="C195:C200" si="47">$B$8*B195</f>
        <v>69</v>
      </c>
      <c r="D195" s="8">
        <f t="shared" si="32"/>
        <v>60</v>
      </c>
      <c r="E195" s="8" t="str" cm="1">
        <f t="array" ref="E195">GetColorMatchValue(C195, $C$3:$C$10)</f>
        <v>cj</v>
      </c>
      <c r="F195" s="88" t="str">
        <f t="shared" ref="F195:F200" si="48">"&lt;tr&gt;&lt;td&gt;"&amp;A195&amp;"&lt;/td&gt;&lt;td&gt;"&amp;D195&amp;"%&lt;/td&gt;&lt;td&gt;${percent("&amp;E195&amp;", "&amp;D195&amp;")}&lt;/td&gt;&lt;/tr&gt;"</f>
        <v>&lt;tr&gt;&lt;td&gt;1 Set of 1 Cl. + 3 Jr. &lt;/td&gt;&lt;td&gt;60%&lt;/td&gt;&lt;td&gt;${percent(cj, 60)}&lt;/td&gt;&lt;/tr&gt;</v>
      </c>
      <c r="H195" s="62"/>
      <c r="I195" s="62"/>
      <c r="K195" s="62"/>
      <c r="L195" s="62"/>
    </row>
    <row r="196" spans="1:12" ht="15" customHeight="1" x14ac:dyDescent="0.25">
      <c r="A196" s="71" t="s">
        <v>115</v>
      </c>
      <c r="B196" s="7">
        <v>0.7</v>
      </c>
      <c r="C196" s="82">
        <f t="shared" si="47"/>
        <v>80.5</v>
      </c>
      <c r="D196" s="8">
        <f t="shared" si="32"/>
        <v>70</v>
      </c>
      <c r="E196" s="8" t="str" cm="1">
        <f t="array" ref="E196">GetColorMatchValue(C196, $C$3:$C$10)</f>
        <v>cj</v>
      </c>
      <c r="F196" s="88" t="str">
        <f t="shared" si="48"/>
        <v>&lt;tr&gt;&lt;td&gt;1 Set of 1 Cl. + 3 Jr. &lt;/td&gt;&lt;td&gt;70%&lt;/td&gt;&lt;td&gt;${percent(cj, 70)}&lt;/td&gt;&lt;/tr&gt;</v>
      </c>
      <c r="H196" s="62"/>
      <c r="I196" s="62"/>
      <c r="K196" s="62"/>
      <c r="L196" s="62"/>
    </row>
    <row r="197" spans="1:12" ht="15" customHeight="1" x14ac:dyDescent="0.25">
      <c r="A197" s="71" t="s">
        <v>116</v>
      </c>
      <c r="B197" s="7">
        <v>0.8</v>
      </c>
      <c r="C197" s="82">
        <f t="shared" si="47"/>
        <v>92</v>
      </c>
      <c r="D197" s="8">
        <f t="shared" si="32"/>
        <v>80</v>
      </c>
      <c r="E197" s="8" t="str" cm="1">
        <f t="array" ref="E197">GetColorMatchValue(C197, $C$3:$C$10)</f>
        <v>cj</v>
      </c>
      <c r="F197" s="88" t="str">
        <f t="shared" si="48"/>
        <v>&lt;tr&gt;&lt;td&gt;1 Set of 1 Cl. + 2 Jr. &lt;/td&gt;&lt;td&gt;80%&lt;/td&gt;&lt;td&gt;${percent(cj, 80)}&lt;/td&gt;&lt;/tr&gt;</v>
      </c>
      <c r="H197" s="62"/>
      <c r="I197" s="62"/>
      <c r="K197" s="62"/>
      <c r="L197" s="62"/>
    </row>
    <row r="198" spans="1:12" ht="15" customHeight="1" x14ac:dyDescent="0.25">
      <c r="A198" s="71" t="s">
        <v>117</v>
      </c>
      <c r="B198" s="7">
        <v>0.85</v>
      </c>
      <c r="C198" s="82">
        <f t="shared" si="47"/>
        <v>97.75</v>
      </c>
      <c r="D198" s="8">
        <f t="shared" si="32"/>
        <v>85</v>
      </c>
      <c r="E198" s="8" t="str" cm="1">
        <f t="array" ref="E198">GetColorMatchValue(C198, $C$3:$C$10)</f>
        <v>cj</v>
      </c>
      <c r="F198" s="88" t="str">
        <f t="shared" si="48"/>
        <v>&lt;tr&gt;&lt;td&gt;1 Set of 1 Cl. + 1 Jr. &lt;/td&gt;&lt;td&gt;85%&lt;/td&gt;&lt;td&gt;${percent(cj, 85)}&lt;/td&gt;&lt;/tr&gt;</v>
      </c>
      <c r="H198" s="62"/>
      <c r="I198" s="62"/>
      <c r="K198" s="62"/>
      <c r="L198" s="62"/>
    </row>
    <row r="199" spans="1:12" ht="15" customHeight="1" x14ac:dyDescent="0.25">
      <c r="A199" s="71" t="s">
        <v>116</v>
      </c>
      <c r="B199" s="7">
        <v>0.8</v>
      </c>
      <c r="C199" s="82">
        <f t="shared" si="47"/>
        <v>92</v>
      </c>
      <c r="D199" s="8">
        <f t="shared" si="32"/>
        <v>80</v>
      </c>
      <c r="E199" s="8" t="str" cm="1">
        <f t="array" ref="E199">GetColorMatchValue(C199, $C$3:$C$10)</f>
        <v>cj</v>
      </c>
      <c r="F199" s="88" t="str">
        <f t="shared" si="48"/>
        <v>&lt;tr&gt;&lt;td&gt;1 Set of 1 Cl. + 2 Jr. &lt;/td&gt;&lt;td&gt;80%&lt;/td&gt;&lt;td&gt;${percent(cj, 80)}&lt;/td&gt;&lt;/tr&gt;</v>
      </c>
      <c r="H199" s="62"/>
      <c r="I199" s="62"/>
      <c r="K199" s="62"/>
      <c r="L199" s="62"/>
    </row>
    <row r="200" spans="1:12" ht="15" customHeight="1" x14ac:dyDescent="0.25">
      <c r="A200" s="71" t="s">
        <v>117</v>
      </c>
      <c r="B200" s="7">
        <v>0.85</v>
      </c>
      <c r="C200" s="82">
        <f t="shared" si="47"/>
        <v>97.75</v>
      </c>
      <c r="D200" s="8">
        <f t="shared" si="32"/>
        <v>85</v>
      </c>
      <c r="E200" s="8" t="str" cm="1">
        <f t="array" ref="E200">GetColorMatchValue(C200, $C$3:$C$10)</f>
        <v>cj</v>
      </c>
      <c r="F200" s="88" t="str">
        <f t="shared" si="48"/>
        <v>&lt;tr&gt;&lt;td&gt;1 Set of 1 Cl. + 1 Jr. &lt;/td&gt;&lt;td&gt;85%&lt;/td&gt;&lt;td&gt;${percent(cj, 85)}&lt;/td&gt;&lt;/tr&gt;</v>
      </c>
      <c r="H200" s="62"/>
      <c r="I200" s="62"/>
      <c r="K200" s="62"/>
      <c r="L200" s="62"/>
    </row>
    <row r="201" spans="1:12" ht="15" customHeight="1" x14ac:dyDescent="0.25">
      <c r="A201" s="71"/>
      <c r="B201" s="8"/>
      <c r="C201" s="76"/>
      <c r="D201" s="8" t="str">
        <f t="shared" si="32"/>
        <v/>
      </c>
      <c r="E201" s="8" t="str" cm="1">
        <f t="array" ref="E201">GetColorMatchValue(C201, $C$3:$C$10)</f>
        <v/>
      </c>
      <c r="F201" s="89" t="s">
        <v>193</v>
      </c>
      <c r="H201" s="62"/>
      <c r="I201" s="62"/>
      <c r="K201" s="62"/>
      <c r="L201" s="62"/>
    </row>
    <row r="202" spans="1:12" ht="15" customHeight="1" x14ac:dyDescent="0.25">
      <c r="A202" s="72" t="s">
        <v>44</v>
      </c>
      <c r="B202" s="8"/>
      <c r="C202" s="76"/>
      <c r="D202" s="8" t="str">
        <f t="shared" si="32"/>
        <v/>
      </c>
      <c r="E202" s="8" t="str" cm="1">
        <f t="array" ref="E202">GetColorMatchValue(C202, $C$3:$C$10)</f>
        <v/>
      </c>
      <c r="F202" s="88" t="str">
        <f>"&lt;tr&gt;&lt;th colspan=""3""&gt;"&amp;A202&amp;"&lt;/th&gt;&lt;/tr&gt;"</f>
        <v>&lt;tr&gt;&lt;th colspan="3"&gt;Clean Pulls&lt;/th&gt;&lt;/tr&gt;</v>
      </c>
      <c r="H202" s="62"/>
      <c r="I202" s="62"/>
      <c r="K202" s="62"/>
      <c r="L202" s="62"/>
    </row>
    <row r="203" spans="1:12" ht="15" customHeight="1" x14ac:dyDescent="0.25">
      <c r="A203" s="71" t="s">
        <v>103</v>
      </c>
      <c r="B203" s="7">
        <v>0.8</v>
      </c>
      <c r="C203" s="80">
        <f t="shared" ref="C203:C204" si="49">$B$6*B203</f>
        <v>88</v>
      </c>
      <c r="D203" s="8">
        <f t="shared" si="32"/>
        <v>80</v>
      </c>
      <c r="E203" s="8" t="str" cm="1">
        <f t="array" ref="E203">GetColorMatchValue(C203, $C$3:$C$10)</f>
        <v>c</v>
      </c>
      <c r="F203" s="88" t="str">
        <f t="shared" ref="F203:F204" si="50">"&lt;tr&gt;&lt;td&gt;"&amp;A203&amp;"&lt;/td&gt;&lt;td&gt;"&amp;D203&amp;"%&lt;/td&gt;&lt;td&gt;${percent("&amp;E203&amp;", "&amp;D203&amp;")}&lt;/td&gt;&lt;/tr&gt;"</f>
        <v>&lt;tr&gt;&lt;td&gt;1 Set of 5 Reps &lt;/td&gt;&lt;td&gt;80%&lt;/td&gt;&lt;td&gt;${percent(c, 80)}&lt;/td&gt;&lt;/tr&gt;</v>
      </c>
      <c r="H203" s="62"/>
      <c r="I203" s="62"/>
      <c r="K203" s="62"/>
      <c r="L203" s="62"/>
    </row>
    <row r="204" spans="1:12" ht="15" customHeight="1" x14ac:dyDescent="0.25">
      <c r="A204" s="71" t="s">
        <v>118</v>
      </c>
      <c r="B204" s="7">
        <v>0.9</v>
      </c>
      <c r="C204" s="80">
        <f t="shared" si="49"/>
        <v>99</v>
      </c>
      <c r="D204" s="8">
        <f t="shared" ref="D204:D264" si="51">IF(ISNUMBER(B204), B204 * 100, "")</f>
        <v>90</v>
      </c>
      <c r="E204" s="8" t="str" cm="1">
        <f t="array" ref="E204">GetColorMatchValue(C204, $C$3:$C$10)</f>
        <v>c</v>
      </c>
      <c r="F204" s="88" t="str">
        <f t="shared" si="50"/>
        <v>&lt;tr&gt;&lt;td&gt;5 Sets of 4 Reps &lt;/td&gt;&lt;td&gt;90%&lt;/td&gt;&lt;td&gt;${percent(c, 90)}&lt;/td&gt;&lt;/tr&gt;</v>
      </c>
      <c r="H204" s="62"/>
      <c r="I204" s="62"/>
      <c r="K204" s="62"/>
      <c r="L204" s="62"/>
    </row>
    <row r="205" spans="1:12" ht="15" customHeight="1" x14ac:dyDescent="0.25">
      <c r="A205" s="71"/>
      <c r="B205" s="8"/>
      <c r="C205" s="76"/>
      <c r="D205" s="8" t="str">
        <f t="shared" si="51"/>
        <v/>
      </c>
      <c r="E205" s="8" t="str" cm="1">
        <f t="array" ref="E205">GetColorMatchValue(C205, $C$3:$C$10)</f>
        <v/>
      </c>
      <c r="F205" s="89" t="s">
        <v>193</v>
      </c>
      <c r="H205" s="62"/>
      <c r="I205" s="62"/>
      <c r="K205" s="62"/>
      <c r="L205" s="62"/>
    </row>
    <row r="206" spans="1:12" ht="15" customHeight="1" x14ac:dyDescent="0.25">
      <c r="A206" s="72" t="s">
        <v>45</v>
      </c>
      <c r="B206" s="8"/>
      <c r="C206" s="76"/>
      <c r="D206" s="8" t="str">
        <f t="shared" si="51"/>
        <v/>
      </c>
      <c r="E206" s="8" t="str" cm="1">
        <f t="array" ref="E206">GetColorMatchValue(C206, $C$3:$C$10)</f>
        <v/>
      </c>
      <c r="F206" s="88" t="str">
        <f>"&lt;tr&gt;&lt;th colspan=""3""&gt;"&amp;A206&amp;"&lt;/th&gt;&lt;/tr&gt;"</f>
        <v>&lt;tr&gt;&lt;th colspan="3"&gt;Behind the Neck Push Jerk&lt;/th&gt;&lt;/tr&gt;</v>
      </c>
      <c r="H206" s="62"/>
      <c r="I206" s="62"/>
      <c r="K206" s="62"/>
      <c r="L206" s="62"/>
    </row>
    <row r="207" spans="1:12" ht="15" customHeight="1" x14ac:dyDescent="0.25">
      <c r="A207" s="71" t="s">
        <v>105</v>
      </c>
      <c r="B207" s="7">
        <v>0.6</v>
      </c>
      <c r="C207" s="82">
        <f t="shared" ref="C207:C211" si="52">$B$8*B207</f>
        <v>69</v>
      </c>
      <c r="D207" s="8">
        <f t="shared" si="51"/>
        <v>60</v>
      </c>
      <c r="E207" s="8" t="str" cm="1">
        <f t="array" ref="E207">GetColorMatchValue(C207, $C$3:$C$10)</f>
        <v>cj</v>
      </c>
      <c r="F207" s="88" t="str">
        <f t="shared" ref="F207:F211" si="53">"&lt;tr&gt;&lt;td&gt;"&amp;A207&amp;"&lt;/td&gt;&lt;td&gt;"&amp;D207&amp;"%&lt;/td&gt;&lt;td&gt;${percent("&amp;E207&amp;", "&amp;D207&amp;")}&lt;/td&gt;&lt;/tr&gt;"</f>
        <v>&lt;tr&gt;&lt;td&gt;1 Set of 4 Reps &lt;/td&gt;&lt;td&gt;60%&lt;/td&gt;&lt;td&gt;${percent(cj, 60)}&lt;/td&gt;&lt;/tr&gt;</v>
      </c>
      <c r="H207" s="62"/>
      <c r="I207" s="62"/>
      <c r="K207" s="62"/>
      <c r="L207" s="62"/>
    </row>
    <row r="208" spans="1:12" ht="15" customHeight="1" x14ac:dyDescent="0.25">
      <c r="A208" s="71" t="s">
        <v>105</v>
      </c>
      <c r="B208" s="7">
        <v>0.7</v>
      </c>
      <c r="C208" s="82">
        <f t="shared" si="52"/>
        <v>80.5</v>
      </c>
      <c r="D208" s="8">
        <f t="shared" si="51"/>
        <v>70</v>
      </c>
      <c r="E208" s="8" t="str" cm="1">
        <f t="array" ref="E208">GetColorMatchValue(C208, $C$3:$C$10)</f>
        <v>cj</v>
      </c>
      <c r="F208" s="88" t="str">
        <f t="shared" si="53"/>
        <v>&lt;tr&gt;&lt;td&gt;1 Set of 4 Reps &lt;/td&gt;&lt;td&gt;70%&lt;/td&gt;&lt;td&gt;${percent(cj, 70)}&lt;/td&gt;&lt;/tr&gt;</v>
      </c>
      <c r="H208" s="62"/>
      <c r="I208" s="62"/>
      <c r="K208" s="62"/>
      <c r="L208" s="62"/>
    </row>
    <row r="209" spans="1:12" ht="15" customHeight="1" x14ac:dyDescent="0.25">
      <c r="A209" s="71" t="s">
        <v>113</v>
      </c>
      <c r="B209" s="7">
        <v>0.75</v>
      </c>
      <c r="C209" s="82">
        <f t="shared" si="52"/>
        <v>86.25</v>
      </c>
      <c r="D209" s="8">
        <f t="shared" si="51"/>
        <v>75</v>
      </c>
      <c r="E209" s="8" t="str" cm="1">
        <f t="array" ref="E209">GetColorMatchValue(C209, $C$3:$C$10)</f>
        <v>cj</v>
      </c>
      <c r="F209" s="88" t="str">
        <f t="shared" si="53"/>
        <v>&lt;tr&gt;&lt;td&gt;1 Set of 2 Reps &lt;/td&gt;&lt;td&gt;75%&lt;/td&gt;&lt;td&gt;${percent(cj, 75)}&lt;/td&gt;&lt;/tr&gt;</v>
      </c>
      <c r="H209" s="62"/>
      <c r="I209" s="62"/>
      <c r="K209" s="62"/>
      <c r="L209" s="62"/>
    </row>
    <row r="210" spans="1:12" ht="15" customHeight="1" x14ac:dyDescent="0.25">
      <c r="A210" s="71" t="s">
        <v>105</v>
      </c>
      <c r="B210" s="7">
        <v>0.6</v>
      </c>
      <c r="C210" s="82">
        <f t="shared" si="52"/>
        <v>69</v>
      </c>
      <c r="D210" s="8">
        <f t="shared" si="51"/>
        <v>60</v>
      </c>
      <c r="E210" s="8" t="str" cm="1">
        <f t="array" ref="E210">GetColorMatchValue(C210, $C$3:$C$10)</f>
        <v>cj</v>
      </c>
      <c r="F210" s="88" t="str">
        <f t="shared" si="53"/>
        <v>&lt;tr&gt;&lt;td&gt;1 Set of 4 Reps &lt;/td&gt;&lt;td&gt;60%&lt;/td&gt;&lt;td&gt;${percent(cj, 60)}&lt;/td&gt;&lt;/tr&gt;</v>
      </c>
      <c r="H210" s="62"/>
      <c r="I210" s="62"/>
      <c r="K210" s="62"/>
      <c r="L210" s="62"/>
    </row>
    <row r="211" spans="1:12" ht="15" customHeight="1" x14ac:dyDescent="0.25">
      <c r="A211" s="71" t="s">
        <v>95</v>
      </c>
      <c r="B211" s="7">
        <v>0.7</v>
      </c>
      <c r="C211" s="82">
        <f t="shared" si="52"/>
        <v>80.5</v>
      </c>
      <c r="D211" s="8">
        <f t="shared" si="51"/>
        <v>70</v>
      </c>
      <c r="E211" s="8" t="str" cm="1">
        <f t="array" ref="E211">GetColorMatchValue(C211, $C$3:$C$10)</f>
        <v>cj</v>
      </c>
      <c r="F211" s="88" t="str">
        <f t="shared" si="53"/>
        <v>&lt;tr&gt;&lt;td&gt;1 Set of 3 Reps &lt;/td&gt;&lt;td&gt;70%&lt;/td&gt;&lt;td&gt;${percent(cj, 70)}&lt;/td&gt;&lt;/tr&gt;</v>
      </c>
      <c r="H211" s="62"/>
      <c r="I211" s="62"/>
      <c r="K211" s="62"/>
      <c r="L211" s="62"/>
    </row>
    <row r="212" spans="1:12" ht="15" customHeight="1" x14ac:dyDescent="0.25">
      <c r="A212" s="71"/>
      <c r="B212" s="8"/>
      <c r="C212" s="76"/>
      <c r="D212" s="8" t="str">
        <f t="shared" si="51"/>
        <v/>
      </c>
      <c r="E212" s="8" t="str" cm="1">
        <f t="array" ref="E212">GetColorMatchValue(C212, $C$3:$C$10)</f>
        <v/>
      </c>
      <c r="F212" s="89" t="s">
        <v>193</v>
      </c>
      <c r="H212" s="62"/>
      <c r="I212" s="62"/>
      <c r="K212" s="62"/>
      <c r="L212" s="62"/>
    </row>
    <row r="213" spans="1:12" ht="15" customHeight="1" x14ac:dyDescent="0.25">
      <c r="A213" s="72" t="s">
        <v>27</v>
      </c>
      <c r="B213" s="8"/>
      <c r="C213" s="76"/>
      <c r="D213" s="8" t="str">
        <f t="shared" si="51"/>
        <v/>
      </c>
      <c r="E213" s="8" t="str" cm="1">
        <f t="array" ref="E213">GetColorMatchValue(C213, $C$3:$C$10)</f>
        <v/>
      </c>
      <c r="F213" s="88" t="str">
        <f>"&lt;tr&gt;&lt;th colspan=""3""&gt;"&amp;A213&amp;"&lt;/th&gt;&lt;/tr&gt;"</f>
        <v>&lt;tr&gt;&lt;th colspan="3"&gt;Abdominals&lt;/th&gt;&lt;/tr&gt;</v>
      </c>
      <c r="H213" s="62"/>
      <c r="I213" s="62"/>
      <c r="K213" s="62"/>
      <c r="L213" s="62"/>
    </row>
    <row r="214" spans="1:12" ht="15" customHeight="1" x14ac:dyDescent="0.25">
      <c r="A214" s="71" t="s">
        <v>196</v>
      </c>
      <c r="B214" s="8" t="s">
        <v>195</v>
      </c>
      <c r="C214" s="76"/>
      <c r="D214" s="8" t="str">
        <f t="shared" si="51"/>
        <v/>
      </c>
      <c r="E214" s="8" t="str" cm="1">
        <f t="array" ref="E214">GetColorMatchValue(C214, $C$3:$C$10)</f>
        <v/>
      </c>
      <c r="F214" s="88" t="str">
        <f>"&lt;tr&gt;&lt;td colspan=""3""&gt;"&amp;A214&amp;" "&amp;B214&amp;"&lt;/td&gt;&lt;/tr&gt;"</f>
        <v>&lt;tr&gt;&lt;td colspan="3"&gt;4 Sets of 20 Reps Athlete's choice on exercise selection.&lt;/td&gt;&lt;/tr&gt;</v>
      </c>
      <c r="H214" s="62"/>
      <c r="I214" s="62"/>
      <c r="K214" s="62"/>
      <c r="L214" s="62"/>
    </row>
    <row r="215" spans="1:12" ht="15" customHeight="1" x14ac:dyDescent="0.25">
      <c r="A215" s="90" t="s">
        <v>13</v>
      </c>
      <c r="B215" s="74" t="s">
        <v>93</v>
      </c>
      <c r="C215" s="75" t="s">
        <v>94</v>
      </c>
      <c r="D215" s="74" t="s">
        <v>192</v>
      </c>
      <c r="E215" s="75" t="s">
        <v>190</v>
      </c>
      <c r="F215" s="91" t="s">
        <v>191</v>
      </c>
      <c r="H215" s="62"/>
      <c r="I215" s="62"/>
    </row>
    <row r="216" spans="1:12" ht="15" customHeight="1" x14ac:dyDescent="0.25">
      <c r="A216" s="72" t="s">
        <v>1</v>
      </c>
      <c r="B216" s="8"/>
      <c r="C216" s="76"/>
      <c r="D216" s="8" t="str">
        <f t="shared" si="51"/>
        <v/>
      </c>
      <c r="E216" s="8" t="str" cm="1">
        <f t="array" ref="E216">GetColorMatchValue(C216, $C$3:$C$10)</f>
        <v/>
      </c>
      <c r="F216" s="88" t="str">
        <f>"&lt;tr&gt;&lt;th colspan=""3""&gt;"&amp;A216&amp;"&lt;/th&gt;&lt;/tr&gt;"</f>
        <v>&lt;tr&gt;&lt;th colspan="3"&gt;Power Snatch&lt;/th&gt;&lt;/tr&gt;</v>
      </c>
      <c r="H216" s="62"/>
      <c r="I216" s="62"/>
    </row>
    <row r="217" spans="1:12" ht="15" customHeight="1" x14ac:dyDescent="0.25">
      <c r="A217" s="71" t="s">
        <v>95</v>
      </c>
      <c r="B217" s="7">
        <v>0.6</v>
      </c>
      <c r="C217" s="78">
        <f t="shared" ref="C217:C222" si="54">$B$7*B217</f>
        <v>57</v>
      </c>
      <c r="D217" s="8">
        <f t="shared" si="51"/>
        <v>60</v>
      </c>
      <c r="E217" s="8" t="str" cm="1">
        <f t="array" ref="E217">GetColorMatchValue(C217, $C$3:$C$10)</f>
        <v>s</v>
      </c>
      <c r="F217" s="88" t="str">
        <f t="shared" ref="F217:F222" si="55">"&lt;tr&gt;&lt;td&gt;"&amp;A217&amp;"&lt;/td&gt;&lt;td&gt;"&amp;D217&amp;"%&lt;/td&gt;&lt;td&gt;${percent("&amp;E217&amp;", "&amp;D217&amp;")}&lt;/td&gt;&lt;/tr&gt;"</f>
        <v>&lt;tr&gt;&lt;td&gt;1 Set of 3 Reps &lt;/td&gt;&lt;td&gt;60%&lt;/td&gt;&lt;td&gt;${percent(s, 60)}&lt;/td&gt;&lt;/tr&gt;</v>
      </c>
      <c r="H217" s="62"/>
      <c r="I217" s="62"/>
    </row>
    <row r="218" spans="1:12" ht="15" customHeight="1" x14ac:dyDescent="0.25">
      <c r="A218" s="71" t="s">
        <v>95</v>
      </c>
      <c r="B218" s="7">
        <v>0.7</v>
      </c>
      <c r="C218" s="78">
        <f t="shared" si="54"/>
        <v>66.5</v>
      </c>
      <c r="D218" s="8">
        <f t="shared" si="51"/>
        <v>70</v>
      </c>
      <c r="E218" s="8" t="str" cm="1">
        <f t="array" ref="E218">GetColorMatchValue(C218, $C$3:$C$10)</f>
        <v>s</v>
      </c>
      <c r="F218" s="88" t="str">
        <f t="shared" si="55"/>
        <v>&lt;tr&gt;&lt;td&gt;1 Set of 3 Reps &lt;/td&gt;&lt;td&gt;70%&lt;/td&gt;&lt;td&gt;${percent(s, 70)}&lt;/td&gt;&lt;/tr&gt;</v>
      </c>
      <c r="H218" s="62"/>
      <c r="I218" s="62"/>
    </row>
    <row r="219" spans="1:12" ht="15" customHeight="1" x14ac:dyDescent="0.25">
      <c r="A219" s="71" t="s">
        <v>98</v>
      </c>
      <c r="B219" s="7">
        <v>0.75</v>
      </c>
      <c r="C219" s="78">
        <f t="shared" si="54"/>
        <v>71.25</v>
      </c>
      <c r="D219" s="8">
        <f t="shared" si="51"/>
        <v>75</v>
      </c>
      <c r="E219" s="8" t="str" cm="1">
        <f t="array" ref="E219">GetColorMatchValue(C219, $C$3:$C$10)</f>
        <v>s</v>
      </c>
      <c r="F219" s="88" t="str">
        <f t="shared" si="55"/>
        <v>&lt;tr&gt;&lt;td&gt;1 Set of 1 Rep &lt;/td&gt;&lt;td&gt;75%&lt;/td&gt;&lt;td&gt;${percent(s, 75)}&lt;/td&gt;&lt;/tr&gt;</v>
      </c>
      <c r="H219" s="62"/>
      <c r="I219" s="62"/>
    </row>
    <row r="220" spans="1:12" ht="15" customHeight="1" x14ac:dyDescent="0.25">
      <c r="A220" s="71" t="s">
        <v>95</v>
      </c>
      <c r="B220" s="7">
        <v>0.6</v>
      </c>
      <c r="C220" s="78">
        <f t="shared" si="54"/>
        <v>57</v>
      </c>
      <c r="D220" s="8">
        <f t="shared" si="51"/>
        <v>60</v>
      </c>
      <c r="E220" s="8" t="str" cm="1">
        <f t="array" ref="E220">GetColorMatchValue(C220, $C$3:$C$10)</f>
        <v>s</v>
      </c>
      <c r="F220" s="88" t="str">
        <f t="shared" si="55"/>
        <v>&lt;tr&gt;&lt;td&gt;1 Set of 3 Reps &lt;/td&gt;&lt;td&gt;60%&lt;/td&gt;&lt;td&gt;${percent(s, 60)}&lt;/td&gt;&lt;/tr&gt;</v>
      </c>
      <c r="H220" s="62"/>
      <c r="I220" s="62"/>
    </row>
    <row r="221" spans="1:12" ht="15" customHeight="1" x14ac:dyDescent="0.25">
      <c r="A221" s="71" t="s">
        <v>113</v>
      </c>
      <c r="B221" s="7">
        <v>0.65</v>
      </c>
      <c r="C221" s="78">
        <f t="shared" si="54"/>
        <v>61.75</v>
      </c>
      <c r="D221" s="8">
        <f t="shared" si="51"/>
        <v>65</v>
      </c>
      <c r="E221" s="8" t="str" cm="1">
        <f t="array" ref="E221">GetColorMatchValue(C221, $C$3:$C$10)</f>
        <v>s</v>
      </c>
      <c r="F221" s="88" t="str">
        <f t="shared" si="55"/>
        <v>&lt;tr&gt;&lt;td&gt;1 Set of 2 Reps &lt;/td&gt;&lt;td&gt;65%&lt;/td&gt;&lt;td&gt;${percent(s, 65)}&lt;/td&gt;&lt;/tr&gt;</v>
      </c>
      <c r="H221" s="62"/>
      <c r="I221" s="62"/>
    </row>
    <row r="222" spans="1:12" ht="15" customHeight="1" x14ac:dyDescent="0.25">
      <c r="A222" s="71" t="s">
        <v>113</v>
      </c>
      <c r="B222" s="7">
        <v>0.7</v>
      </c>
      <c r="C222" s="78">
        <f t="shared" si="54"/>
        <v>66.5</v>
      </c>
      <c r="D222" s="8">
        <f t="shared" si="51"/>
        <v>70</v>
      </c>
      <c r="E222" s="8" t="str" cm="1">
        <f t="array" ref="E222">GetColorMatchValue(C222, $C$3:$C$10)</f>
        <v>s</v>
      </c>
      <c r="F222" s="88" t="str">
        <f t="shared" si="55"/>
        <v>&lt;tr&gt;&lt;td&gt;1 Set of 2 Reps &lt;/td&gt;&lt;td&gt;70%&lt;/td&gt;&lt;td&gt;${percent(s, 70)}&lt;/td&gt;&lt;/tr&gt;</v>
      </c>
      <c r="H222" s="62"/>
      <c r="I222" s="62"/>
    </row>
    <row r="223" spans="1:12" ht="15" customHeight="1" x14ac:dyDescent="0.25">
      <c r="A223" s="71"/>
      <c r="B223" s="8"/>
      <c r="C223" s="76"/>
      <c r="D223" s="8" t="str">
        <f t="shared" si="51"/>
        <v/>
      </c>
      <c r="E223" s="8" t="str" cm="1">
        <f t="array" ref="E223">GetColorMatchValue(C223, $C$3:$C$10)</f>
        <v/>
      </c>
      <c r="F223" s="89" t="s">
        <v>193</v>
      </c>
      <c r="H223" s="62"/>
      <c r="I223" s="62"/>
    </row>
    <row r="224" spans="1:12" ht="15" customHeight="1" x14ac:dyDescent="0.25">
      <c r="A224" s="72" t="s">
        <v>30</v>
      </c>
      <c r="B224" s="8"/>
      <c r="C224" s="76"/>
      <c r="D224" s="8" t="str">
        <f t="shared" si="51"/>
        <v/>
      </c>
      <c r="E224" s="8" t="str" cm="1">
        <f t="array" ref="E224">GetColorMatchValue(C224, $C$3:$C$10)</f>
        <v/>
      </c>
      <c r="F224" s="88" t="str">
        <f>"&lt;tr&gt;&lt;th colspan=""3""&gt;"&amp;A224&amp;"&lt;/th&gt;&lt;/tr&gt;"</f>
        <v>&lt;tr&gt;&lt;th colspan="3"&gt;Power Clean + Push Jerk&lt;/th&gt;&lt;/tr&gt;</v>
      </c>
      <c r="H224" s="62"/>
      <c r="I224" s="62"/>
    </row>
    <row r="225" spans="1:12" ht="15" customHeight="1" x14ac:dyDescent="0.25">
      <c r="A225" s="71" t="s">
        <v>139</v>
      </c>
      <c r="B225" s="7">
        <v>0.6</v>
      </c>
      <c r="C225" s="82">
        <f t="shared" ref="C225:C229" si="56">$B$8*B225</f>
        <v>69</v>
      </c>
      <c r="D225" s="8">
        <f t="shared" si="51"/>
        <v>60</v>
      </c>
      <c r="E225" s="8" t="str" cm="1">
        <f t="array" ref="E225">GetColorMatchValue(C225, $C$3:$C$10)</f>
        <v>cj</v>
      </c>
      <c r="F225" s="88" t="str">
        <f t="shared" ref="F225:F229" si="57">"&lt;tr&gt;&lt;td&gt;"&amp;A225&amp;"&lt;/td&gt;&lt;td&gt;"&amp;D225&amp;"%&lt;/td&gt;&lt;td&gt;${percent("&amp;E225&amp;", "&amp;D225&amp;")}&lt;/td&gt;&lt;/tr&gt;"</f>
        <v>&lt;tr&gt;&lt;td&gt;1 Set of 3 P.Cl. + 1 P.Jr. &lt;/td&gt;&lt;td&gt;60%&lt;/td&gt;&lt;td&gt;${percent(cj, 60)}&lt;/td&gt;&lt;/tr&gt;</v>
      </c>
      <c r="H225" s="62"/>
      <c r="I225" s="62"/>
    </row>
    <row r="226" spans="1:12" ht="15" customHeight="1" x14ac:dyDescent="0.25">
      <c r="A226" s="71" t="s">
        <v>139</v>
      </c>
      <c r="B226" s="7">
        <v>0.7</v>
      </c>
      <c r="C226" s="82">
        <f t="shared" si="56"/>
        <v>80.5</v>
      </c>
      <c r="D226" s="8">
        <f t="shared" si="51"/>
        <v>70</v>
      </c>
      <c r="E226" s="8" t="str" cm="1">
        <f t="array" ref="E226">GetColorMatchValue(C226, $C$3:$C$10)</f>
        <v>cj</v>
      </c>
      <c r="F226" s="88" t="str">
        <f t="shared" si="57"/>
        <v>&lt;tr&gt;&lt;td&gt;1 Set of 3 P.Cl. + 1 P.Jr. &lt;/td&gt;&lt;td&gt;70%&lt;/td&gt;&lt;td&gt;${percent(cj, 70)}&lt;/td&gt;&lt;/tr&gt;</v>
      </c>
      <c r="H226" s="62"/>
      <c r="I226" s="62"/>
    </row>
    <row r="227" spans="1:12" ht="15" customHeight="1" x14ac:dyDescent="0.25">
      <c r="A227" s="71" t="s">
        <v>140</v>
      </c>
      <c r="B227" s="7">
        <v>0.75</v>
      </c>
      <c r="C227" s="82">
        <f t="shared" si="56"/>
        <v>86.25</v>
      </c>
      <c r="D227" s="8">
        <f t="shared" si="51"/>
        <v>75</v>
      </c>
      <c r="E227" s="8" t="str" cm="1">
        <f t="array" ref="E227">GetColorMatchValue(C227, $C$3:$C$10)</f>
        <v>cj</v>
      </c>
      <c r="F227" s="88" t="str">
        <f t="shared" si="57"/>
        <v>&lt;tr&gt;&lt;td&gt;1 Set of 1 P.Cl. + 1 P.Jr. &lt;/td&gt;&lt;td&gt;75%&lt;/td&gt;&lt;td&gt;${percent(cj, 75)}&lt;/td&gt;&lt;/tr&gt;</v>
      </c>
      <c r="H227" s="62"/>
      <c r="I227" s="62"/>
    </row>
    <row r="228" spans="1:12" ht="15" customHeight="1" x14ac:dyDescent="0.25">
      <c r="A228" s="71" t="s">
        <v>139</v>
      </c>
      <c r="B228" s="7">
        <v>0.6</v>
      </c>
      <c r="C228" s="82">
        <f t="shared" si="56"/>
        <v>69</v>
      </c>
      <c r="D228" s="8">
        <f t="shared" si="51"/>
        <v>60</v>
      </c>
      <c r="E228" s="8" t="str" cm="1">
        <f t="array" ref="E228">GetColorMatchValue(C228, $C$3:$C$10)</f>
        <v>cj</v>
      </c>
      <c r="F228" s="88" t="str">
        <f t="shared" si="57"/>
        <v>&lt;tr&gt;&lt;td&gt;1 Set of 3 P.Cl. + 1 P.Jr. &lt;/td&gt;&lt;td&gt;60%&lt;/td&gt;&lt;td&gt;${percent(cj, 60)}&lt;/td&gt;&lt;/tr&gt;</v>
      </c>
      <c r="H228" s="62"/>
      <c r="I228" s="62"/>
    </row>
    <row r="229" spans="1:12" ht="15" customHeight="1" x14ac:dyDescent="0.25">
      <c r="A229" s="71" t="s">
        <v>139</v>
      </c>
      <c r="B229" s="7">
        <v>0.7</v>
      </c>
      <c r="C229" s="82">
        <f t="shared" si="56"/>
        <v>80.5</v>
      </c>
      <c r="D229" s="8">
        <f t="shared" si="51"/>
        <v>70</v>
      </c>
      <c r="E229" s="8" t="str" cm="1">
        <f t="array" ref="E229">GetColorMatchValue(C229, $C$3:$C$10)</f>
        <v>cj</v>
      </c>
      <c r="F229" s="88" t="str">
        <f t="shared" si="57"/>
        <v>&lt;tr&gt;&lt;td&gt;1 Set of 3 P.Cl. + 1 P.Jr. &lt;/td&gt;&lt;td&gt;70%&lt;/td&gt;&lt;td&gt;${percent(cj, 70)}&lt;/td&gt;&lt;/tr&gt;</v>
      </c>
      <c r="H229" s="62"/>
      <c r="I229" s="62"/>
    </row>
    <row r="230" spans="1:12" ht="15" customHeight="1" x14ac:dyDescent="0.25">
      <c r="A230" s="71"/>
      <c r="B230" s="8"/>
      <c r="C230" s="76"/>
      <c r="D230" s="8" t="str">
        <f t="shared" si="51"/>
        <v/>
      </c>
      <c r="E230" s="8" t="str" cm="1">
        <f t="array" ref="E230">GetColorMatchValue(C230, $C$3:$C$10)</f>
        <v/>
      </c>
      <c r="F230" s="89" t="s">
        <v>193</v>
      </c>
      <c r="H230" s="62"/>
      <c r="I230" s="62"/>
    </row>
    <row r="231" spans="1:12" ht="15" customHeight="1" x14ac:dyDescent="0.25">
      <c r="A231" s="72" t="s">
        <v>31</v>
      </c>
      <c r="B231" s="8"/>
      <c r="C231" s="76"/>
      <c r="D231" s="8" t="str">
        <f t="shared" si="51"/>
        <v/>
      </c>
      <c r="E231" s="8" t="str" cm="1">
        <f t="array" ref="E231">GetColorMatchValue(C231, $C$3:$C$10)</f>
        <v/>
      </c>
      <c r="F231" s="88" t="str">
        <f>"&lt;tr&gt;&lt;th colspan=""3""&gt;"&amp;A231&amp;"&lt;/th&gt;&lt;/tr&gt;"</f>
        <v>&lt;tr&gt;&lt;th colspan="3"&gt;RDL&lt;/th&gt;&lt;/tr&gt;</v>
      </c>
      <c r="H231" s="62"/>
      <c r="I231" s="62"/>
    </row>
    <row r="232" spans="1:12" ht="15" customHeight="1" x14ac:dyDescent="0.25">
      <c r="A232" s="71" t="s">
        <v>103</v>
      </c>
      <c r="B232" s="7">
        <v>0.8</v>
      </c>
      <c r="C232" s="83">
        <f t="shared" ref="C232:C234" si="58">$B$9*B232</f>
        <v>160</v>
      </c>
      <c r="D232" s="8">
        <f t="shared" si="51"/>
        <v>80</v>
      </c>
      <c r="E232" s="8" t="str" cm="1">
        <f t="array" ref="E232">GetColorMatchValue(C232, $C$3:$C$10)</f>
        <v>d</v>
      </c>
      <c r="F232" s="88" t="str">
        <f t="shared" ref="F232:F234" si="59">"&lt;tr&gt;&lt;td&gt;"&amp;A232&amp;"&lt;/td&gt;&lt;td&gt;"&amp;D232&amp;"%&lt;/td&gt;&lt;td&gt;${percent("&amp;E232&amp;", "&amp;D232&amp;")}&lt;/td&gt;&lt;/tr&gt;"</f>
        <v>&lt;tr&gt;&lt;td&gt;1 Set of 5 Reps &lt;/td&gt;&lt;td&gt;80%&lt;/td&gt;&lt;td&gt;${percent(d, 80)}&lt;/td&gt;&lt;/tr&gt;</v>
      </c>
      <c r="H232" s="62"/>
      <c r="I232" s="62"/>
    </row>
    <row r="233" spans="1:12" ht="15" customHeight="1" x14ac:dyDescent="0.25">
      <c r="A233" s="71" t="s">
        <v>110</v>
      </c>
      <c r="B233" s="7">
        <v>0.9</v>
      </c>
      <c r="C233" s="83">
        <f t="shared" si="58"/>
        <v>180</v>
      </c>
      <c r="D233" s="8">
        <f t="shared" si="51"/>
        <v>90</v>
      </c>
      <c r="E233" s="8" t="str" cm="1">
        <f t="array" ref="E233">GetColorMatchValue(C233, $C$3:$C$10)</f>
        <v>d</v>
      </c>
      <c r="F233" s="88" t="str">
        <f t="shared" si="59"/>
        <v>&lt;tr&gt;&lt;td&gt;3 Sets of 4 Reps &lt;/td&gt;&lt;td&gt;90%&lt;/td&gt;&lt;td&gt;${percent(d, 90)}&lt;/td&gt;&lt;/tr&gt;</v>
      </c>
      <c r="H233" s="62"/>
      <c r="I233" s="62"/>
    </row>
    <row r="234" spans="1:12" ht="15" customHeight="1" x14ac:dyDescent="0.25">
      <c r="A234" s="71" t="s">
        <v>141</v>
      </c>
      <c r="B234" s="7">
        <v>1</v>
      </c>
      <c r="C234" s="83">
        <f t="shared" si="58"/>
        <v>200</v>
      </c>
      <c r="D234" s="8">
        <f t="shared" si="51"/>
        <v>100</v>
      </c>
      <c r="E234" s="8" t="str" cm="1">
        <f t="array" ref="E234">GetColorMatchValue(C234, $C$3:$C$10)</f>
        <v>d</v>
      </c>
      <c r="F234" s="88" t="str">
        <f t="shared" si="59"/>
        <v>&lt;tr&gt;&lt;td&gt;2 Sets of 2 Reps &lt;/td&gt;&lt;td&gt;100%&lt;/td&gt;&lt;td&gt;${percent(d, 100)}&lt;/td&gt;&lt;/tr&gt;</v>
      </c>
      <c r="H234" s="62"/>
      <c r="I234" s="62"/>
    </row>
    <row r="235" spans="1:12" ht="15" customHeight="1" x14ac:dyDescent="0.25">
      <c r="A235" s="71"/>
      <c r="B235" s="8"/>
      <c r="C235" s="76"/>
      <c r="D235" s="8" t="str">
        <f t="shared" si="51"/>
        <v/>
      </c>
      <c r="E235" s="8" t="str" cm="1">
        <f t="array" ref="E235">GetColorMatchValue(C235, $C$3:$C$10)</f>
        <v/>
      </c>
      <c r="F235" s="89" t="s">
        <v>193</v>
      </c>
      <c r="H235" s="62"/>
      <c r="I235" s="62"/>
    </row>
    <row r="236" spans="1:12" ht="15" customHeight="1" x14ac:dyDescent="0.25">
      <c r="A236" s="72" t="s">
        <v>34</v>
      </c>
      <c r="B236" s="8"/>
      <c r="C236" s="76"/>
      <c r="D236" s="8" t="str">
        <f t="shared" si="51"/>
        <v/>
      </c>
      <c r="E236" s="8" t="str" cm="1">
        <f t="array" ref="E236">GetColorMatchValue(C236, $C$3:$C$10)</f>
        <v/>
      </c>
      <c r="F236" s="88" t="str">
        <f>"&lt;tr&gt;&lt;th colspan=""3""&gt;"&amp;A236&amp;"&lt;/th&gt;&lt;/tr&gt;"</f>
        <v>&lt;tr&gt;&lt;th colspan="3"&gt;Front Squat&lt;/th&gt;&lt;/tr&gt;</v>
      </c>
      <c r="H236" s="62"/>
      <c r="I236" s="62"/>
      <c r="L236" s="45"/>
    </row>
    <row r="237" spans="1:12" s="13" customFormat="1" ht="15" customHeight="1" x14ac:dyDescent="0.25">
      <c r="A237" s="71" t="s">
        <v>95</v>
      </c>
      <c r="B237" s="7">
        <v>0.6</v>
      </c>
      <c r="C237" s="84">
        <f t="shared" ref="C237:C243" si="60">$B$4*B237</f>
        <v>84</v>
      </c>
      <c r="D237" s="8">
        <f t="shared" si="51"/>
        <v>60</v>
      </c>
      <c r="E237" s="8" t="str" cm="1">
        <f t="array" ref="E237">GetColorMatchValue(C237, $C$3:$C$10)</f>
        <v>fs</v>
      </c>
      <c r="F237" s="88" t="str">
        <f t="shared" ref="F237:F243" si="61">"&lt;tr&gt;&lt;td&gt;"&amp;A237&amp;"&lt;/td&gt;&lt;td&gt;"&amp;D237&amp;"%&lt;/td&gt;&lt;td&gt;${percent("&amp;E237&amp;", "&amp;D237&amp;")}&lt;/td&gt;&lt;/tr&gt;"</f>
        <v>&lt;tr&gt;&lt;td&gt;1 Set of 3 Reps &lt;/td&gt;&lt;td&gt;60%&lt;/td&gt;&lt;td&gt;${percent(fs, 60)}&lt;/td&gt;&lt;/tr&gt;</v>
      </c>
    </row>
    <row r="238" spans="1:12" ht="15" customHeight="1" x14ac:dyDescent="0.25">
      <c r="A238" s="71" t="s">
        <v>95</v>
      </c>
      <c r="B238" s="7">
        <v>0.7</v>
      </c>
      <c r="C238" s="84">
        <f t="shared" si="60"/>
        <v>98</v>
      </c>
      <c r="D238" s="8">
        <f t="shared" si="51"/>
        <v>70</v>
      </c>
      <c r="E238" s="8" t="str" cm="1">
        <f t="array" ref="E238">GetColorMatchValue(C238, $C$3:$C$10)</f>
        <v>fs</v>
      </c>
      <c r="F238" s="88" t="str">
        <f t="shared" si="61"/>
        <v>&lt;tr&gt;&lt;td&gt;1 Set of 3 Reps &lt;/td&gt;&lt;td&gt;70%&lt;/td&gt;&lt;td&gt;${percent(fs, 70)}&lt;/td&gt;&lt;/tr&gt;</v>
      </c>
      <c r="H238" s="62"/>
      <c r="I238" s="62"/>
      <c r="K238" s="62"/>
      <c r="L238" s="62"/>
    </row>
    <row r="239" spans="1:12" ht="15" customHeight="1" x14ac:dyDescent="0.25">
      <c r="A239" s="71" t="s">
        <v>95</v>
      </c>
      <c r="B239" s="7">
        <v>0.8</v>
      </c>
      <c r="C239" s="84">
        <f t="shared" si="60"/>
        <v>112</v>
      </c>
      <c r="D239" s="8">
        <f t="shared" si="51"/>
        <v>80</v>
      </c>
      <c r="E239" s="8" t="str" cm="1">
        <f t="array" ref="E239">GetColorMatchValue(C239, $C$3:$C$10)</f>
        <v>fs</v>
      </c>
      <c r="F239" s="88" t="str">
        <f t="shared" si="61"/>
        <v>&lt;tr&gt;&lt;td&gt;1 Set of 3 Reps &lt;/td&gt;&lt;td&gt;80%&lt;/td&gt;&lt;td&gt;${percent(fs, 80)}&lt;/td&gt;&lt;/tr&gt;</v>
      </c>
      <c r="H239" s="62"/>
      <c r="I239" s="62"/>
      <c r="K239" s="62"/>
      <c r="L239" s="62"/>
    </row>
    <row r="240" spans="1:12" ht="15" customHeight="1" x14ac:dyDescent="0.25">
      <c r="A240" s="71" t="s">
        <v>113</v>
      </c>
      <c r="B240" s="7">
        <v>0.85</v>
      </c>
      <c r="C240" s="84">
        <f t="shared" si="60"/>
        <v>119</v>
      </c>
      <c r="D240" s="8">
        <f t="shared" si="51"/>
        <v>85</v>
      </c>
      <c r="E240" s="8" t="str" cm="1">
        <f t="array" ref="E240">GetColorMatchValue(C240, $C$3:$C$10)</f>
        <v>fs</v>
      </c>
      <c r="F240" s="88" t="str">
        <f t="shared" si="61"/>
        <v>&lt;tr&gt;&lt;td&gt;1 Set of 2 Reps &lt;/td&gt;&lt;td&gt;85%&lt;/td&gt;&lt;td&gt;${percent(fs, 85)}&lt;/td&gt;&lt;/tr&gt;</v>
      </c>
      <c r="H240" s="62"/>
      <c r="I240" s="62"/>
      <c r="K240" s="62"/>
      <c r="L240" s="62"/>
    </row>
    <row r="241" spans="1:12" ht="15" customHeight="1" x14ac:dyDescent="0.25">
      <c r="A241" s="71" t="s">
        <v>98</v>
      </c>
      <c r="B241" s="7">
        <v>0.9</v>
      </c>
      <c r="C241" s="84">
        <f t="shared" si="60"/>
        <v>126</v>
      </c>
      <c r="D241" s="8">
        <f t="shared" si="51"/>
        <v>90</v>
      </c>
      <c r="E241" s="8" t="str" cm="1">
        <f t="array" ref="E241">GetColorMatchValue(C241, $C$3:$C$10)</f>
        <v>fs</v>
      </c>
      <c r="F241" s="88" t="str">
        <f t="shared" si="61"/>
        <v>&lt;tr&gt;&lt;td&gt;1 Set of 1 Rep &lt;/td&gt;&lt;td&gt;90%&lt;/td&gt;&lt;td&gt;${percent(fs, 90)}&lt;/td&gt;&lt;/tr&gt;</v>
      </c>
      <c r="H241" s="62"/>
      <c r="I241" s="62"/>
      <c r="K241" s="62"/>
      <c r="L241" s="62"/>
    </row>
    <row r="242" spans="1:12" ht="15" customHeight="1" x14ac:dyDescent="0.25">
      <c r="A242" s="71" t="s">
        <v>95</v>
      </c>
      <c r="B242" s="7">
        <v>0.8</v>
      </c>
      <c r="C242" s="84">
        <f t="shared" si="60"/>
        <v>112</v>
      </c>
      <c r="D242" s="8">
        <f t="shared" si="51"/>
        <v>80</v>
      </c>
      <c r="E242" s="8" t="str" cm="1">
        <f t="array" ref="E242">GetColorMatchValue(C242, $C$3:$C$10)</f>
        <v>fs</v>
      </c>
      <c r="F242" s="88" t="str">
        <f t="shared" si="61"/>
        <v>&lt;tr&gt;&lt;td&gt;1 Set of 3 Reps &lt;/td&gt;&lt;td&gt;80%&lt;/td&gt;&lt;td&gt;${percent(fs, 80)}&lt;/td&gt;&lt;/tr&gt;</v>
      </c>
      <c r="H242" s="62"/>
      <c r="I242" s="62"/>
      <c r="K242" s="62"/>
      <c r="L242" s="62"/>
    </row>
    <row r="243" spans="1:12" ht="15" customHeight="1" x14ac:dyDescent="0.25">
      <c r="A243" s="71" t="s">
        <v>98</v>
      </c>
      <c r="B243" s="7">
        <v>0.85</v>
      </c>
      <c r="C243" s="84">
        <f t="shared" si="60"/>
        <v>119</v>
      </c>
      <c r="D243" s="8">
        <f t="shared" si="51"/>
        <v>85</v>
      </c>
      <c r="E243" s="8" t="str" cm="1">
        <f t="array" ref="E243">GetColorMatchValue(C243, $C$3:$C$10)</f>
        <v>fs</v>
      </c>
      <c r="F243" s="88" t="str">
        <f t="shared" si="61"/>
        <v>&lt;tr&gt;&lt;td&gt;1 Set of 1 Rep &lt;/td&gt;&lt;td&gt;85%&lt;/td&gt;&lt;td&gt;${percent(fs, 85)}&lt;/td&gt;&lt;/tr&gt;</v>
      </c>
      <c r="H243" s="62"/>
      <c r="I243" s="62"/>
      <c r="K243" s="62"/>
      <c r="L243" s="62"/>
    </row>
    <row r="244" spans="1:12" ht="15" customHeight="1" x14ac:dyDescent="0.25">
      <c r="A244" s="71"/>
      <c r="B244" s="8"/>
      <c r="C244" s="76"/>
      <c r="D244" s="8" t="str">
        <f t="shared" si="51"/>
        <v/>
      </c>
      <c r="E244" s="8" t="str" cm="1">
        <f t="array" ref="E244">GetColorMatchValue(C244, $C$3:$C$10)</f>
        <v/>
      </c>
      <c r="F244" s="89" t="s">
        <v>193</v>
      </c>
      <c r="H244" s="62"/>
      <c r="I244" s="62"/>
      <c r="K244" s="62"/>
      <c r="L244" s="62"/>
    </row>
    <row r="245" spans="1:12" ht="15" customHeight="1" x14ac:dyDescent="0.25">
      <c r="A245" s="72" t="s">
        <v>47</v>
      </c>
      <c r="B245" s="8"/>
      <c r="C245" s="76"/>
      <c r="D245" s="8" t="str">
        <f t="shared" si="51"/>
        <v/>
      </c>
      <c r="E245" s="8" t="str" cm="1">
        <f t="array" ref="E245">GetColorMatchValue(C245, $C$3:$C$10)</f>
        <v/>
      </c>
      <c r="F245" s="88" t="str">
        <f>"&lt;tr&gt;&lt;th colspan=""3""&gt;"&amp;A245&amp;"&lt;/th&gt;&lt;/tr&gt;"</f>
        <v>&lt;tr&gt;&lt;th colspan="3"&gt;Press&lt;/th&gt;&lt;/tr&gt;</v>
      </c>
      <c r="H245" s="62"/>
      <c r="I245" s="62"/>
      <c r="K245" s="62"/>
      <c r="L245" s="62"/>
    </row>
    <row r="246" spans="1:12" ht="15" customHeight="1" x14ac:dyDescent="0.25">
      <c r="A246" s="71" t="s">
        <v>199</v>
      </c>
      <c r="B246" s="71" t="s">
        <v>198</v>
      </c>
      <c r="C246" s="76"/>
      <c r="D246" s="8" t="str">
        <f>IF(ISNUMBER(#REF!),#REF! * 100, "")</f>
        <v/>
      </c>
      <c r="E246" s="8" t="str" cm="1">
        <f t="array" ref="E246">GetColorMatchValue(C246, $C$3:$C$10)</f>
        <v/>
      </c>
      <c r="F246" s="88" t="str">
        <f>"&lt;tr&gt;&lt;td colspan=""3""&gt;"&amp;A246&amp;" "&amp;B246&amp;"&lt;/td&gt;&lt;/tr&gt;"</f>
        <v>&lt;tr&gt;&lt;td colspan="3"&gt;5 Sets of 5 Reps Work up to weight where you can maintain proper form.&lt;/td&gt;&lt;/tr&gt;</v>
      </c>
      <c r="H246" s="62"/>
      <c r="I246" s="62"/>
      <c r="K246" s="62"/>
      <c r="L246" s="62"/>
    </row>
    <row r="247" spans="1:12" ht="15" customHeight="1" x14ac:dyDescent="0.25">
      <c r="A247" s="71"/>
      <c r="B247" s="8"/>
      <c r="C247" s="76"/>
      <c r="D247" s="8" t="str">
        <f t="shared" si="51"/>
        <v/>
      </c>
      <c r="E247" s="8" t="str" cm="1">
        <f t="array" ref="E247">GetColorMatchValue(C247, $C$3:$C$10)</f>
        <v/>
      </c>
      <c r="F247" s="89" t="s">
        <v>193</v>
      </c>
      <c r="H247" s="62"/>
      <c r="I247" s="62"/>
      <c r="K247" s="62"/>
      <c r="L247" s="62"/>
    </row>
    <row r="248" spans="1:12" ht="15" customHeight="1" x14ac:dyDescent="0.25">
      <c r="A248" s="72" t="s">
        <v>27</v>
      </c>
      <c r="B248" s="8"/>
      <c r="C248" s="76"/>
      <c r="D248" s="8" t="str">
        <f t="shared" si="51"/>
        <v/>
      </c>
      <c r="E248" s="8" t="str" cm="1">
        <f t="array" ref="E248">GetColorMatchValue(C248, $C$3:$C$10)</f>
        <v/>
      </c>
      <c r="F248" s="88" t="str">
        <f>"&lt;tr&gt;&lt;th colspan=""3""&gt;"&amp;A248&amp;"&lt;/th&gt;&lt;/tr&gt;"</f>
        <v>&lt;tr&gt;&lt;th colspan="3"&gt;Abdominals&lt;/th&gt;&lt;/tr&gt;</v>
      </c>
      <c r="H248" s="62"/>
      <c r="I248" s="62"/>
      <c r="K248" s="62"/>
      <c r="L248" s="62"/>
    </row>
    <row r="249" spans="1:12" ht="15" customHeight="1" x14ac:dyDescent="0.25">
      <c r="A249" s="71" t="s">
        <v>197</v>
      </c>
      <c r="B249" s="8" t="s">
        <v>195</v>
      </c>
      <c r="C249" s="76"/>
      <c r="D249" s="8" t="str">
        <f t="shared" ref="D249" si="62">IF(ISNUMBER(B249), B249 * 100, "")</f>
        <v/>
      </c>
      <c r="E249" s="8" t="str" cm="1">
        <f t="array" ref="E249">GetColorMatchValue(C249, $C$3:$C$10)</f>
        <v/>
      </c>
      <c r="F249" s="88" t="str">
        <f>"&lt;tr&gt;&lt;td colspan=""3""&gt;"&amp;A249&amp;" "&amp;B249&amp;"&lt;/td&gt;&lt;/tr&gt;"</f>
        <v>&lt;tr&gt;&lt;td colspan="3"&gt;3 Sets of 25 Reps Athlete's choice on exercise selection.&lt;/td&gt;&lt;/tr&gt;</v>
      </c>
      <c r="H249" s="62"/>
      <c r="I249" s="62"/>
      <c r="K249" s="62"/>
      <c r="L249" s="62"/>
    </row>
    <row r="250" spans="1:12" ht="15" customHeight="1" x14ac:dyDescent="0.25">
      <c r="A250" s="90" t="s">
        <v>14</v>
      </c>
      <c r="B250" s="74" t="s">
        <v>93</v>
      </c>
      <c r="C250" s="75" t="s">
        <v>94</v>
      </c>
      <c r="D250" s="74" t="s">
        <v>192</v>
      </c>
      <c r="E250" s="75" t="s">
        <v>190</v>
      </c>
      <c r="F250" s="91" t="s">
        <v>191</v>
      </c>
      <c r="I250" s="45"/>
      <c r="K250" s="62"/>
      <c r="L250" s="62"/>
    </row>
    <row r="251" spans="1:12" ht="15" customHeight="1" x14ac:dyDescent="0.25">
      <c r="A251" s="72" t="s">
        <v>0</v>
      </c>
      <c r="B251" s="8"/>
      <c r="C251" s="76"/>
      <c r="D251" s="8" t="str">
        <f t="shared" si="51"/>
        <v/>
      </c>
      <c r="E251" s="8" t="str" cm="1">
        <f t="array" ref="E251">GetColorMatchValue(C251, $C$3:$C$10)</f>
        <v/>
      </c>
      <c r="F251" s="88" t="str">
        <f>"&lt;tr&gt;&lt;th colspan=""3""&gt;"&amp;A251&amp;"&lt;/th&gt;&lt;/tr&gt;"</f>
        <v>&lt;tr&gt;&lt;th colspan="3"&gt;Back Squat&lt;/th&gt;&lt;/tr&gt;</v>
      </c>
      <c r="I251" s="45"/>
      <c r="K251" s="62"/>
      <c r="L251" s="62"/>
    </row>
    <row r="252" spans="1:12" ht="15" customHeight="1" x14ac:dyDescent="0.25">
      <c r="A252" s="71" t="s">
        <v>95</v>
      </c>
      <c r="B252" s="7">
        <v>0.6</v>
      </c>
      <c r="C252" s="77">
        <f t="shared" ref="C252:C258" si="63">$B$3*B252</f>
        <v>120</v>
      </c>
      <c r="D252" s="8">
        <f t="shared" si="51"/>
        <v>60</v>
      </c>
      <c r="E252" s="8" t="str" cm="1">
        <f t="array" ref="E252">GetColorMatchValue(C252, $C$3:$C$10)</f>
        <v>bs</v>
      </c>
      <c r="F252" s="88" t="str">
        <f t="shared" ref="F252:F258" si="64">"&lt;tr&gt;&lt;td&gt;"&amp;A252&amp;"&lt;/td&gt;&lt;td&gt;"&amp;D252&amp;"%&lt;/td&gt;&lt;td&gt;${percent("&amp;E252&amp;", "&amp;D252&amp;")}&lt;/td&gt;&lt;/tr&gt;"</f>
        <v>&lt;tr&gt;&lt;td&gt;1 Set of 3 Reps &lt;/td&gt;&lt;td&gt;60%&lt;/td&gt;&lt;td&gt;${percent(bs, 60)}&lt;/td&gt;&lt;/tr&gt;</v>
      </c>
      <c r="I252" s="45"/>
      <c r="K252" s="62"/>
      <c r="L252" s="62"/>
    </row>
    <row r="253" spans="1:12" ht="15" customHeight="1" x14ac:dyDescent="0.25">
      <c r="A253" s="71" t="s">
        <v>95</v>
      </c>
      <c r="B253" s="7">
        <v>0.7</v>
      </c>
      <c r="C253" s="77">
        <f t="shared" si="63"/>
        <v>140</v>
      </c>
      <c r="D253" s="8">
        <f t="shared" si="51"/>
        <v>70</v>
      </c>
      <c r="E253" s="8" t="str" cm="1">
        <f t="array" ref="E253">GetColorMatchValue(C253, $C$3:$C$10)</f>
        <v>bs</v>
      </c>
      <c r="F253" s="88" t="str">
        <f t="shared" si="64"/>
        <v>&lt;tr&gt;&lt;td&gt;1 Set of 3 Reps &lt;/td&gt;&lt;td&gt;70%&lt;/td&gt;&lt;td&gt;${percent(bs, 70)}&lt;/td&gt;&lt;/tr&gt;</v>
      </c>
      <c r="I253" s="45"/>
      <c r="K253" s="62"/>
      <c r="L253" s="62"/>
    </row>
    <row r="254" spans="1:12" ht="15" customHeight="1" x14ac:dyDescent="0.25">
      <c r="A254" s="71" t="s">
        <v>95</v>
      </c>
      <c r="B254" s="7">
        <v>0.8</v>
      </c>
      <c r="C254" s="77">
        <f t="shared" si="63"/>
        <v>160</v>
      </c>
      <c r="D254" s="8">
        <f t="shared" si="51"/>
        <v>80</v>
      </c>
      <c r="E254" s="8" t="str" cm="1">
        <f t="array" ref="E254">GetColorMatchValue(C254, $C$3:$C$10)</f>
        <v>bs</v>
      </c>
      <c r="F254" s="88" t="str">
        <f t="shared" si="64"/>
        <v>&lt;tr&gt;&lt;td&gt;1 Set of 3 Reps &lt;/td&gt;&lt;td&gt;80%&lt;/td&gt;&lt;td&gt;${percent(bs, 80)}&lt;/td&gt;&lt;/tr&gt;</v>
      </c>
      <c r="I254" s="45"/>
      <c r="K254" s="62"/>
      <c r="L254" s="62"/>
    </row>
    <row r="255" spans="1:12" ht="15" customHeight="1" x14ac:dyDescent="0.25">
      <c r="A255" s="71" t="s">
        <v>95</v>
      </c>
      <c r="B255" s="7">
        <v>0.85</v>
      </c>
      <c r="C255" s="77">
        <f t="shared" si="63"/>
        <v>170</v>
      </c>
      <c r="D255" s="8">
        <f t="shared" si="51"/>
        <v>85</v>
      </c>
      <c r="E255" s="8" t="str" cm="1">
        <f t="array" ref="E255">GetColorMatchValue(C255, $C$3:$C$10)</f>
        <v>bs</v>
      </c>
      <c r="F255" s="88" t="str">
        <f t="shared" si="64"/>
        <v>&lt;tr&gt;&lt;td&gt;1 Set of 3 Reps &lt;/td&gt;&lt;td&gt;85%&lt;/td&gt;&lt;td&gt;${percent(bs, 85)}&lt;/td&gt;&lt;/tr&gt;</v>
      </c>
      <c r="I255" s="45"/>
      <c r="K255" s="62"/>
      <c r="L255" s="62"/>
    </row>
    <row r="256" spans="1:12" ht="15" customHeight="1" x14ac:dyDescent="0.25">
      <c r="A256" s="71" t="s">
        <v>95</v>
      </c>
      <c r="B256" s="7">
        <v>0.9</v>
      </c>
      <c r="C256" s="77">
        <f t="shared" si="63"/>
        <v>180</v>
      </c>
      <c r="D256" s="8">
        <f t="shared" si="51"/>
        <v>90</v>
      </c>
      <c r="E256" s="8" t="str" cm="1">
        <f t="array" ref="E256">GetColorMatchValue(C256, $C$3:$C$10)</f>
        <v>bs</v>
      </c>
      <c r="F256" s="88" t="str">
        <f t="shared" si="64"/>
        <v>&lt;tr&gt;&lt;td&gt;1 Set of 3 Reps &lt;/td&gt;&lt;td&gt;90%&lt;/td&gt;&lt;td&gt;${percent(bs, 90)}&lt;/td&gt;&lt;/tr&gt;</v>
      </c>
      <c r="I256" s="45"/>
      <c r="K256" s="62"/>
      <c r="L256" s="62"/>
    </row>
    <row r="257" spans="1:12" ht="15" customHeight="1" x14ac:dyDescent="0.25">
      <c r="A257" s="71" t="s">
        <v>95</v>
      </c>
      <c r="B257" s="7">
        <v>0.85</v>
      </c>
      <c r="C257" s="77">
        <f t="shared" si="63"/>
        <v>170</v>
      </c>
      <c r="D257" s="8">
        <f t="shared" si="51"/>
        <v>85</v>
      </c>
      <c r="E257" s="8" t="str" cm="1">
        <f t="array" ref="E257">GetColorMatchValue(C257, $C$3:$C$10)</f>
        <v>bs</v>
      </c>
      <c r="F257" s="88" t="str">
        <f t="shared" si="64"/>
        <v>&lt;tr&gt;&lt;td&gt;1 Set of 3 Reps &lt;/td&gt;&lt;td&gt;85%&lt;/td&gt;&lt;td&gt;${percent(bs, 85)}&lt;/td&gt;&lt;/tr&gt;</v>
      </c>
      <c r="I257" s="45"/>
      <c r="K257" s="62"/>
      <c r="L257" s="62"/>
    </row>
    <row r="258" spans="1:12" ht="15" customHeight="1" x14ac:dyDescent="0.25">
      <c r="A258" s="71" t="s">
        <v>113</v>
      </c>
      <c r="B258" s="7">
        <v>0.9</v>
      </c>
      <c r="C258" s="77">
        <f t="shared" si="63"/>
        <v>180</v>
      </c>
      <c r="D258" s="8">
        <f t="shared" si="51"/>
        <v>90</v>
      </c>
      <c r="E258" s="8" t="str" cm="1">
        <f t="array" ref="E258">GetColorMatchValue(C258, $C$3:$C$10)</f>
        <v>bs</v>
      </c>
      <c r="F258" s="88" t="str">
        <f t="shared" si="64"/>
        <v>&lt;tr&gt;&lt;td&gt;1 Set of 2 Reps &lt;/td&gt;&lt;td&gt;90%&lt;/td&gt;&lt;td&gt;${percent(bs, 90)}&lt;/td&gt;&lt;/tr&gt;</v>
      </c>
      <c r="I258" s="45"/>
      <c r="K258" s="62"/>
      <c r="L258" s="62"/>
    </row>
    <row r="259" spans="1:12" ht="15" customHeight="1" x14ac:dyDescent="0.25">
      <c r="A259" s="71"/>
      <c r="B259" s="8"/>
      <c r="C259" s="76"/>
      <c r="D259" s="8" t="str">
        <f t="shared" si="51"/>
        <v/>
      </c>
      <c r="E259" s="8" t="str" cm="1">
        <f t="array" ref="E259">GetColorMatchValue(C259, $C$3:$C$10)</f>
        <v/>
      </c>
      <c r="F259" s="89" t="s">
        <v>193</v>
      </c>
      <c r="I259" s="45"/>
      <c r="K259" s="62"/>
      <c r="L259" s="62"/>
    </row>
    <row r="260" spans="1:12" ht="15" customHeight="1" x14ac:dyDescent="0.25">
      <c r="A260" s="72" t="s">
        <v>42</v>
      </c>
      <c r="B260" s="8"/>
      <c r="C260" s="76"/>
      <c r="D260" s="8" t="str">
        <f t="shared" si="51"/>
        <v/>
      </c>
      <c r="E260" s="8" t="str" cm="1">
        <f t="array" ref="E260">GetColorMatchValue(C260, $C$3:$C$10)</f>
        <v/>
      </c>
      <c r="F260" s="88" t="str">
        <f>"&lt;tr&gt;&lt;th colspan=""3""&gt;"&amp;A260&amp;"&lt;/th&gt;&lt;/tr&gt;"</f>
        <v>&lt;tr&gt;&lt;th colspan="3"&gt;Snatch&lt;/th&gt;&lt;/tr&gt;</v>
      </c>
      <c r="I260" s="45"/>
      <c r="K260" s="62"/>
      <c r="L260" s="62"/>
    </row>
    <row r="261" spans="1:12" ht="15" customHeight="1" x14ac:dyDescent="0.25">
      <c r="A261" s="71" t="s">
        <v>113</v>
      </c>
      <c r="B261" s="7">
        <v>0.6</v>
      </c>
      <c r="C261" s="78">
        <f t="shared" ref="C261:C264" si="65">$B$7*B261</f>
        <v>57</v>
      </c>
      <c r="D261" s="8">
        <f t="shared" si="51"/>
        <v>60</v>
      </c>
      <c r="E261" s="8" t="str" cm="1">
        <f t="array" ref="E261">GetColorMatchValue(C261, $C$3:$C$10)</f>
        <v>s</v>
      </c>
      <c r="F261" s="88" t="str">
        <f t="shared" ref="F261:F264" si="66">"&lt;tr&gt;&lt;td&gt;"&amp;A261&amp;"&lt;/td&gt;&lt;td&gt;"&amp;D261&amp;"%&lt;/td&gt;&lt;td&gt;${percent("&amp;E261&amp;", "&amp;D261&amp;")}&lt;/td&gt;&lt;/tr&gt;"</f>
        <v>&lt;tr&gt;&lt;td&gt;1 Set of 2 Reps &lt;/td&gt;&lt;td&gt;60%&lt;/td&gt;&lt;td&gt;${percent(s, 60)}&lt;/td&gt;&lt;/tr&gt;</v>
      </c>
      <c r="I261" s="45"/>
      <c r="K261" s="62"/>
      <c r="L261" s="62"/>
    </row>
    <row r="262" spans="1:12" ht="15" customHeight="1" x14ac:dyDescent="0.25">
      <c r="A262" s="71" t="s">
        <v>113</v>
      </c>
      <c r="B262" s="7">
        <v>0.7</v>
      </c>
      <c r="C262" s="78">
        <f t="shared" si="65"/>
        <v>66.5</v>
      </c>
      <c r="D262" s="8">
        <f t="shared" si="51"/>
        <v>70</v>
      </c>
      <c r="E262" s="8" t="str" cm="1">
        <f t="array" ref="E262">GetColorMatchValue(C262, $C$3:$C$10)</f>
        <v>s</v>
      </c>
      <c r="F262" s="88" t="str">
        <f t="shared" si="66"/>
        <v>&lt;tr&gt;&lt;td&gt;1 Set of 2 Reps &lt;/td&gt;&lt;td&gt;70%&lt;/td&gt;&lt;td&gt;${percent(s, 70)}&lt;/td&gt;&lt;/tr&gt;</v>
      </c>
      <c r="I262" s="45"/>
      <c r="K262" s="62"/>
      <c r="L262" s="62"/>
    </row>
    <row r="263" spans="1:12" ht="15" customHeight="1" x14ac:dyDescent="0.25">
      <c r="A263" s="71" t="s">
        <v>113</v>
      </c>
      <c r="B263" s="7">
        <v>0.8</v>
      </c>
      <c r="C263" s="78">
        <f t="shared" si="65"/>
        <v>76</v>
      </c>
      <c r="D263" s="8">
        <f t="shared" si="51"/>
        <v>80</v>
      </c>
      <c r="E263" s="8" t="str" cm="1">
        <f t="array" ref="E263">GetColorMatchValue(C263, $C$3:$C$10)</f>
        <v>s</v>
      </c>
      <c r="F263" s="88" t="str">
        <f t="shared" si="66"/>
        <v>&lt;tr&gt;&lt;td&gt;1 Set of 2 Reps &lt;/td&gt;&lt;td&gt;80%&lt;/td&gt;&lt;td&gt;${percent(s, 80)}&lt;/td&gt;&lt;/tr&gt;</v>
      </c>
      <c r="I263" s="45"/>
      <c r="K263" s="62"/>
      <c r="L263" s="62"/>
    </row>
    <row r="264" spans="1:12" ht="15" customHeight="1" x14ac:dyDescent="0.25">
      <c r="A264" s="71" t="s">
        <v>128</v>
      </c>
      <c r="B264" s="7">
        <v>0.85</v>
      </c>
      <c r="C264" s="78">
        <f t="shared" si="65"/>
        <v>80.75</v>
      </c>
      <c r="D264" s="8">
        <f t="shared" si="51"/>
        <v>85</v>
      </c>
      <c r="E264" s="8" t="str" cm="1">
        <f t="array" ref="E264">GetColorMatchValue(C264, $C$3:$C$10)</f>
        <v>s</v>
      </c>
      <c r="F264" s="88" t="str">
        <f t="shared" si="66"/>
        <v>&lt;tr&gt;&lt;td&gt;4 Sets of 2 Reps &lt;/td&gt;&lt;td&gt;85%&lt;/td&gt;&lt;td&gt;${percent(s, 85)}&lt;/td&gt;&lt;/tr&gt;</v>
      </c>
      <c r="I264" s="45"/>
      <c r="K264" s="62"/>
      <c r="L264" s="62"/>
    </row>
    <row r="265" spans="1:12" ht="15" customHeight="1" x14ac:dyDescent="0.25">
      <c r="A265" s="71"/>
      <c r="B265" s="8"/>
      <c r="C265" s="76"/>
      <c r="D265" s="8" t="str">
        <f t="shared" ref="D265:D328" si="67">IF(ISNUMBER(B265), B265 * 100, "")</f>
        <v/>
      </c>
      <c r="E265" s="8" t="str" cm="1">
        <f t="array" ref="E265">GetColorMatchValue(C265, $C$3:$C$10)</f>
        <v/>
      </c>
      <c r="F265" s="89" t="s">
        <v>193</v>
      </c>
      <c r="I265" s="45"/>
      <c r="K265" s="62"/>
      <c r="L265" s="62"/>
    </row>
    <row r="266" spans="1:12" ht="15" customHeight="1" x14ac:dyDescent="0.25">
      <c r="A266" s="72" t="s">
        <v>49</v>
      </c>
      <c r="B266" s="8"/>
      <c r="C266" s="76"/>
      <c r="D266" s="8" t="str">
        <f t="shared" si="67"/>
        <v/>
      </c>
      <c r="E266" s="8" t="str" cm="1">
        <f t="array" ref="E266">GetColorMatchValue(C266, $C$3:$C$10)</f>
        <v/>
      </c>
      <c r="F266" s="88" t="str">
        <f>"&lt;tr&gt;&lt;th colspan=""3""&gt;"&amp;A266&amp;"&lt;/th&gt;&lt;/tr&gt;"</f>
        <v>&lt;tr&gt;&lt;th colspan="3"&gt;Clean &amp; Jerk&lt;/th&gt;&lt;/tr&gt;</v>
      </c>
      <c r="I266" s="45"/>
      <c r="K266" s="62"/>
      <c r="L266" s="62"/>
    </row>
    <row r="267" spans="1:12" ht="15" customHeight="1" x14ac:dyDescent="0.25">
      <c r="A267" s="71" t="s">
        <v>144</v>
      </c>
      <c r="B267" s="7">
        <v>0.6</v>
      </c>
      <c r="C267" s="82">
        <f t="shared" ref="C267:C270" si="68">$B$8*B267</f>
        <v>69</v>
      </c>
      <c r="D267" s="8">
        <f t="shared" si="67"/>
        <v>60</v>
      </c>
      <c r="E267" s="8" t="str" cm="1">
        <f t="array" ref="E267">GetColorMatchValue(C267, $C$3:$C$10)</f>
        <v>cj</v>
      </c>
      <c r="F267" s="88" t="str">
        <f t="shared" ref="F267:F270" si="69">"&lt;tr&gt;&lt;td&gt;"&amp;A267&amp;"&lt;/td&gt;&lt;td&gt;"&amp;D267&amp;"%&lt;/td&gt;&lt;td&gt;${percent("&amp;E267&amp;", "&amp;D267&amp;")}&lt;/td&gt;&lt;/tr&gt;"</f>
        <v>&lt;tr&gt;&lt;td&gt;1 Set of 2 Cl. + 1 Jr. &lt;/td&gt;&lt;td&gt;60%&lt;/td&gt;&lt;td&gt;${percent(cj, 60)}&lt;/td&gt;&lt;/tr&gt;</v>
      </c>
      <c r="I267" s="45"/>
      <c r="K267" s="62"/>
      <c r="L267" s="62"/>
    </row>
    <row r="268" spans="1:12" ht="15" customHeight="1" x14ac:dyDescent="0.25">
      <c r="A268" s="71" t="s">
        <v>144</v>
      </c>
      <c r="B268" s="7">
        <v>0.7</v>
      </c>
      <c r="C268" s="82">
        <f t="shared" si="68"/>
        <v>80.5</v>
      </c>
      <c r="D268" s="8">
        <f t="shared" si="67"/>
        <v>70</v>
      </c>
      <c r="E268" s="8" t="str" cm="1">
        <f t="array" ref="E268">GetColorMatchValue(C268, $C$3:$C$10)</f>
        <v>cj</v>
      </c>
      <c r="F268" s="88" t="str">
        <f t="shared" si="69"/>
        <v>&lt;tr&gt;&lt;td&gt;1 Set of 2 Cl. + 1 Jr. &lt;/td&gt;&lt;td&gt;70%&lt;/td&gt;&lt;td&gt;${percent(cj, 70)}&lt;/td&gt;&lt;/tr&gt;</v>
      </c>
      <c r="I268" s="45"/>
      <c r="K268" s="62"/>
      <c r="L268" s="62"/>
    </row>
    <row r="269" spans="1:12" ht="15" customHeight="1" x14ac:dyDescent="0.25">
      <c r="A269" s="71" t="s">
        <v>144</v>
      </c>
      <c r="B269" s="7">
        <v>0.8</v>
      </c>
      <c r="C269" s="82">
        <f t="shared" si="68"/>
        <v>92</v>
      </c>
      <c r="D269" s="8">
        <f t="shared" si="67"/>
        <v>80</v>
      </c>
      <c r="E269" s="8" t="str" cm="1">
        <f t="array" ref="E269">GetColorMatchValue(C269, $C$3:$C$10)</f>
        <v>cj</v>
      </c>
      <c r="F269" s="88" t="str">
        <f t="shared" si="69"/>
        <v>&lt;tr&gt;&lt;td&gt;1 Set of 2 Cl. + 1 Jr. &lt;/td&gt;&lt;td&gt;80%&lt;/td&gt;&lt;td&gt;${percent(cj, 80)}&lt;/td&gt;&lt;/tr&gt;</v>
      </c>
      <c r="I269" s="45"/>
      <c r="K269" s="62"/>
      <c r="L269" s="62"/>
    </row>
    <row r="270" spans="1:12" ht="15" customHeight="1" x14ac:dyDescent="0.25">
      <c r="A270" s="71" t="s">
        <v>154</v>
      </c>
      <c r="B270" s="7">
        <v>0.85</v>
      </c>
      <c r="C270" s="82">
        <f t="shared" si="68"/>
        <v>97.75</v>
      </c>
      <c r="D270" s="8">
        <f t="shared" si="67"/>
        <v>85</v>
      </c>
      <c r="E270" s="8" t="str" cm="1">
        <f t="array" ref="E270">GetColorMatchValue(C270, $C$3:$C$10)</f>
        <v>cj</v>
      </c>
      <c r="F270" s="88" t="str">
        <f t="shared" si="69"/>
        <v>&lt;tr&gt;&lt;td&gt;3 Sets of 2 Cl. + 1 Jr. &lt;/td&gt;&lt;td&gt;85%&lt;/td&gt;&lt;td&gt;${percent(cj, 85)}&lt;/td&gt;&lt;/tr&gt;</v>
      </c>
      <c r="I270" s="45"/>
      <c r="K270" s="62"/>
      <c r="L270" s="62"/>
    </row>
    <row r="271" spans="1:12" ht="15" customHeight="1" x14ac:dyDescent="0.25">
      <c r="A271" s="71"/>
      <c r="B271" s="8"/>
      <c r="C271" s="76"/>
      <c r="D271" s="8" t="str">
        <f t="shared" si="67"/>
        <v/>
      </c>
      <c r="E271" s="8" t="str" cm="1">
        <f t="array" ref="E271">GetColorMatchValue(C271, $C$3:$C$10)</f>
        <v/>
      </c>
      <c r="F271" s="89" t="s">
        <v>193</v>
      </c>
      <c r="I271" s="45"/>
      <c r="K271" s="62"/>
      <c r="L271" s="62"/>
    </row>
    <row r="272" spans="1:12" ht="15" customHeight="1" x14ac:dyDescent="0.25">
      <c r="A272" s="72" t="s">
        <v>45</v>
      </c>
      <c r="B272" s="8"/>
      <c r="C272" s="76"/>
      <c r="D272" s="8" t="str">
        <f t="shared" si="67"/>
        <v/>
      </c>
      <c r="E272" s="8" t="str" cm="1">
        <f t="array" ref="E272">GetColorMatchValue(C272, $C$3:$C$10)</f>
        <v/>
      </c>
      <c r="F272" s="88" t="str">
        <f>"&lt;tr&gt;&lt;th colspan=""3""&gt;"&amp;A272&amp;"&lt;/th&gt;&lt;/tr&gt;"</f>
        <v>&lt;tr&gt;&lt;th colspan="3"&gt;Behind the Neck Push Jerk&lt;/th&gt;&lt;/tr&gt;</v>
      </c>
      <c r="I272" s="45"/>
      <c r="K272" s="62"/>
      <c r="L272" s="62"/>
    </row>
    <row r="273" spans="1:12" ht="15" customHeight="1" x14ac:dyDescent="0.25">
      <c r="A273" s="71" t="s">
        <v>95</v>
      </c>
      <c r="B273" s="7">
        <v>0.6</v>
      </c>
      <c r="C273" s="82">
        <f t="shared" ref="C273:C278" si="70">$B$8*B273</f>
        <v>69</v>
      </c>
      <c r="D273" s="8">
        <f t="shared" si="67"/>
        <v>60</v>
      </c>
      <c r="E273" s="8" t="str" cm="1">
        <f t="array" ref="E273">GetColorMatchValue(C273, $C$3:$C$10)</f>
        <v>cj</v>
      </c>
      <c r="F273" s="88" t="str">
        <f t="shared" ref="F273:F278" si="71">"&lt;tr&gt;&lt;td&gt;"&amp;A273&amp;"&lt;/td&gt;&lt;td&gt;"&amp;D273&amp;"%&lt;/td&gt;&lt;td&gt;${percent("&amp;E273&amp;", "&amp;D273&amp;")}&lt;/td&gt;&lt;/tr&gt;"</f>
        <v>&lt;tr&gt;&lt;td&gt;1 Set of 3 Reps &lt;/td&gt;&lt;td&gt;60%&lt;/td&gt;&lt;td&gt;${percent(cj, 60)}&lt;/td&gt;&lt;/tr&gt;</v>
      </c>
      <c r="I273" s="45"/>
      <c r="K273" s="62"/>
      <c r="L273" s="62"/>
    </row>
    <row r="274" spans="1:12" ht="15" customHeight="1" x14ac:dyDescent="0.25">
      <c r="A274" s="71" t="s">
        <v>95</v>
      </c>
      <c r="B274" s="7">
        <v>0.65</v>
      </c>
      <c r="C274" s="82">
        <f t="shared" si="70"/>
        <v>74.75</v>
      </c>
      <c r="D274" s="8">
        <f t="shared" si="67"/>
        <v>65</v>
      </c>
      <c r="E274" s="8" t="str" cm="1">
        <f t="array" ref="E274">GetColorMatchValue(C274, $C$3:$C$10)</f>
        <v>cj</v>
      </c>
      <c r="F274" s="88" t="str">
        <f t="shared" si="71"/>
        <v>&lt;tr&gt;&lt;td&gt;1 Set of 3 Reps &lt;/td&gt;&lt;td&gt;65%&lt;/td&gt;&lt;td&gt;${percent(cj, 65)}&lt;/td&gt;&lt;/tr&gt;</v>
      </c>
      <c r="I274" s="45"/>
      <c r="K274" s="62"/>
      <c r="L274" s="62"/>
    </row>
    <row r="275" spans="1:12" ht="15" customHeight="1" x14ac:dyDescent="0.25">
      <c r="A275" s="71" t="s">
        <v>95</v>
      </c>
      <c r="B275" s="7">
        <v>0.7</v>
      </c>
      <c r="C275" s="82">
        <f t="shared" si="70"/>
        <v>80.5</v>
      </c>
      <c r="D275" s="8">
        <f t="shared" si="67"/>
        <v>70</v>
      </c>
      <c r="E275" s="8" t="str" cm="1">
        <f t="array" ref="E275">GetColorMatchValue(C275, $C$3:$C$10)</f>
        <v>cj</v>
      </c>
      <c r="F275" s="88" t="str">
        <f t="shared" si="71"/>
        <v>&lt;tr&gt;&lt;td&gt;1 Set of 3 Reps &lt;/td&gt;&lt;td&gt;70%&lt;/td&gt;&lt;td&gt;${percent(cj, 70)}&lt;/td&gt;&lt;/tr&gt;</v>
      </c>
      <c r="I275" s="45"/>
      <c r="K275" s="62"/>
      <c r="L275" s="62"/>
    </row>
    <row r="276" spans="1:12" ht="15" customHeight="1" x14ac:dyDescent="0.25">
      <c r="A276" s="71" t="s">
        <v>155</v>
      </c>
      <c r="B276" s="7">
        <v>0.75</v>
      </c>
      <c r="C276" s="82">
        <f t="shared" si="70"/>
        <v>86.25</v>
      </c>
      <c r="D276" s="8">
        <f t="shared" si="67"/>
        <v>75</v>
      </c>
      <c r="E276" s="8" t="str" cm="1">
        <f t="array" ref="E276">GetColorMatchValue(C276, $C$3:$C$10)</f>
        <v>cj</v>
      </c>
      <c r="F276" s="88" t="str">
        <f t="shared" si="71"/>
        <v>&lt;tr&gt;&lt;td&gt;1 Set of 1 Reps &lt;/td&gt;&lt;td&gt;75%&lt;/td&gt;&lt;td&gt;${percent(cj, 75)}&lt;/td&gt;&lt;/tr&gt;</v>
      </c>
      <c r="I276" s="45"/>
      <c r="K276" s="62"/>
      <c r="L276" s="62"/>
    </row>
    <row r="277" spans="1:12" ht="15" customHeight="1" x14ac:dyDescent="0.25">
      <c r="A277" s="71" t="s">
        <v>95</v>
      </c>
      <c r="B277" s="7">
        <v>0.65</v>
      </c>
      <c r="C277" s="82">
        <f t="shared" si="70"/>
        <v>74.75</v>
      </c>
      <c r="D277" s="8">
        <f t="shared" si="67"/>
        <v>65</v>
      </c>
      <c r="E277" s="8" t="str" cm="1">
        <f t="array" ref="E277">GetColorMatchValue(C277, $C$3:$C$10)</f>
        <v>cj</v>
      </c>
      <c r="F277" s="88" t="str">
        <f t="shared" si="71"/>
        <v>&lt;tr&gt;&lt;td&gt;1 Set of 3 Reps &lt;/td&gt;&lt;td&gt;65%&lt;/td&gt;&lt;td&gt;${percent(cj, 65)}&lt;/td&gt;&lt;/tr&gt;</v>
      </c>
      <c r="I277" s="45"/>
      <c r="K277" s="62"/>
      <c r="L277" s="62"/>
    </row>
    <row r="278" spans="1:12" ht="15" customHeight="1" x14ac:dyDescent="0.25">
      <c r="A278" s="71" t="s">
        <v>113</v>
      </c>
      <c r="B278" s="7">
        <v>0.7</v>
      </c>
      <c r="C278" s="82">
        <f t="shared" si="70"/>
        <v>80.5</v>
      </c>
      <c r="D278" s="8">
        <f t="shared" si="67"/>
        <v>70</v>
      </c>
      <c r="E278" s="8" t="str" cm="1">
        <f t="array" ref="E278">GetColorMatchValue(C278, $C$3:$C$10)</f>
        <v>cj</v>
      </c>
      <c r="F278" s="88" t="str">
        <f t="shared" si="71"/>
        <v>&lt;tr&gt;&lt;td&gt;1 Set of 2 Reps &lt;/td&gt;&lt;td&gt;70%&lt;/td&gt;&lt;td&gt;${percent(cj, 70)}&lt;/td&gt;&lt;/tr&gt;</v>
      </c>
      <c r="I278" s="45"/>
      <c r="K278" s="62"/>
      <c r="L278" s="62"/>
    </row>
    <row r="279" spans="1:12" ht="15" customHeight="1" x14ac:dyDescent="0.25">
      <c r="A279" s="71"/>
      <c r="B279" s="8"/>
      <c r="C279" s="76"/>
      <c r="D279" s="8" t="str">
        <f t="shared" si="67"/>
        <v/>
      </c>
      <c r="E279" s="8" t="str" cm="1">
        <f t="array" ref="E279">GetColorMatchValue(C279, $C$3:$C$10)</f>
        <v/>
      </c>
      <c r="F279" s="89" t="s">
        <v>193</v>
      </c>
      <c r="I279" s="45"/>
      <c r="K279" s="62"/>
      <c r="L279" s="62"/>
    </row>
    <row r="280" spans="1:12" ht="15" customHeight="1" x14ac:dyDescent="0.25">
      <c r="A280" s="72" t="s">
        <v>82</v>
      </c>
      <c r="B280" s="8"/>
      <c r="C280" s="76"/>
      <c r="D280" s="8" t="str">
        <f t="shared" si="67"/>
        <v/>
      </c>
      <c r="E280" s="8" t="str" cm="1">
        <f t="array" ref="E280">GetColorMatchValue(C280, $C$3:$C$10)</f>
        <v/>
      </c>
      <c r="F280" s="88" t="str">
        <f>"&lt;tr&gt;&lt;th colspan=""3""&gt;"&amp;A280&amp;"&lt;/th&gt;&lt;/tr&gt;"</f>
        <v>&lt;tr&gt;&lt;th colspan="3"&gt;Snatch Deadlift &lt;/th&gt;&lt;/tr&gt;</v>
      </c>
      <c r="I280" s="45"/>
      <c r="K280" s="62"/>
      <c r="L280" s="62"/>
    </row>
    <row r="281" spans="1:12" ht="15" customHeight="1" x14ac:dyDescent="0.25">
      <c r="A281" s="71" t="s">
        <v>103</v>
      </c>
      <c r="B281" s="7">
        <v>0.9</v>
      </c>
      <c r="C281" s="78">
        <f t="shared" ref="C281:C292" si="72">$B$7*B281</f>
        <v>85.5</v>
      </c>
      <c r="D281" s="8">
        <f t="shared" si="67"/>
        <v>90</v>
      </c>
      <c r="E281" s="8" t="str" cm="1">
        <f t="array" ref="E281">GetColorMatchValue(C281, $C$3:$C$10)</f>
        <v>s</v>
      </c>
      <c r="F281" s="88" t="str">
        <f t="shared" ref="F281:F292" si="73">"&lt;tr&gt;&lt;td&gt;"&amp;A281&amp;"&lt;/td&gt;&lt;td&gt;"&amp;D281&amp;"%&lt;/td&gt;&lt;td&gt;${percent("&amp;E281&amp;", "&amp;D281&amp;")}&lt;/td&gt;&lt;/tr&gt;"</f>
        <v>&lt;tr&gt;&lt;td&gt;1 Set of 5 Reps &lt;/td&gt;&lt;td&gt;90%&lt;/td&gt;&lt;td&gt;${percent(s, 90)}&lt;/td&gt;&lt;/tr&gt;</v>
      </c>
      <c r="I281" s="45"/>
      <c r="K281" s="62"/>
      <c r="L281" s="62"/>
    </row>
    <row r="282" spans="1:12" ht="15" customHeight="1" x14ac:dyDescent="0.25">
      <c r="A282" s="71" t="s">
        <v>95</v>
      </c>
      <c r="B282" s="7">
        <v>1</v>
      </c>
      <c r="C282" s="78">
        <f t="shared" si="72"/>
        <v>95</v>
      </c>
      <c r="D282" s="8">
        <f t="shared" si="67"/>
        <v>100</v>
      </c>
      <c r="E282" s="8" t="str" cm="1">
        <f t="array" ref="E282">GetColorMatchValue(C282, $C$3:$C$10)</f>
        <v>s</v>
      </c>
      <c r="F282" s="88" t="str">
        <f t="shared" si="73"/>
        <v>&lt;tr&gt;&lt;td&gt;1 Set of 3 Reps &lt;/td&gt;&lt;td&gt;100%&lt;/td&gt;&lt;td&gt;${percent(s, 100)}&lt;/td&gt;&lt;/tr&gt;</v>
      </c>
      <c r="I282" s="45"/>
      <c r="K282" s="62"/>
      <c r="L282" s="62"/>
    </row>
    <row r="283" spans="1:12" ht="15" customHeight="1" x14ac:dyDescent="0.25">
      <c r="A283" s="71" t="s">
        <v>113</v>
      </c>
      <c r="B283" s="7">
        <v>1.1000000000000001</v>
      </c>
      <c r="C283" s="78">
        <f t="shared" si="72"/>
        <v>104.50000000000001</v>
      </c>
      <c r="D283" s="8">
        <f t="shared" si="67"/>
        <v>110.00000000000001</v>
      </c>
      <c r="E283" s="8" t="str" cm="1">
        <f t="array" ref="E283">GetColorMatchValue(C283, $C$3:$C$10)</f>
        <v>s</v>
      </c>
      <c r="F283" s="88" t="str">
        <f t="shared" si="73"/>
        <v>&lt;tr&gt;&lt;td&gt;1 Set of 2 Reps &lt;/td&gt;&lt;td&gt;110%&lt;/td&gt;&lt;td&gt;${percent(s, 110)}&lt;/td&gt;&lt;/tr&gt;</v>
      </c>
      <c r="I283" s="45"/>
      <c r="K283" s="62"/>
      <c r="L283" s="62"/>
    </row>
    <row r="284" spans="1:12" ht="15" customHeight="1" x14ac:dyDescent="0.25">
      <c r="A284" s="71" t="s">
        <v>103</v>
      </c>
      <c r="B284" s="7">
        <v>0.9</v>
      </c>
      <c r="C284" s="78">
        <f t="shared" si="72"/>
        <v>85.5</v>
      </c>
      <c r="D284" s="8">
        <f t="shared" si="67"/>
        <v>90</v>
      </c>
      <c r="E284" s="8" t="str" cm="1">
        <f t="array" ref="E284">GetColorMatchValue(C284, $C$3:$C$10)</f>
        <v>s</v>
      </c>
      <c r="F284" s="88" t="str">
        <f t="shared" si="73"/>
        <v>&lt;tr&gt;&lt;td&gt;1 Set of 5 Reps &lt;/td&gt;&lt;td&gt;90%&lt;/td&gt;&lt;td&gt;${percent(s, 90)}&lt;/td&gt;&lt;/tr&gt;</v>
      </c>
      <c r="I284" s="45"/>
      <c r="K284" s="62"/>
      <c r="L284" s="62"/>
    </row>
    <row r="285" spans="1:12" ht="15" customHeight="1" x14ac:dyDescent="0.25">
      <c r="A285" s="71" t="s">
        <v>95</v>
      </c>
      <c r="B285" s="7">
        <v>1</v>
      </c>
      <c r="C285" s="78">
        <f t="shared" si="72"/>
        <v>95</v>
      </c>
      <c r="D285" s="8">
        <f t="shared" si="67"/>
        <v>100</v>
      </c>
      <c r="E285" s="8" t="str" cm="1">
        <f t="array" ref="E285">GetColorMatchValue(C285, $C$3:$C$10)</f>
        <v>s</v>
      </c>
      <c r="F285" s="88" t="str">
        <f t="shared" si="73"/>
        <v>&lt;tr&gt;&lt;td&gt;1 Set of 3 Reps &lt;/td&gt;&lt;td&gt;100%&lt;/td&gt;&lt;td&gt;${percent(s, 100)}&lt;/td&gt;&lt;/tr&gt;</v>
      </c>
      <c r="I285" s="45"/>
      <c r="K285" s="62"/>
      <c r="L285" s="62"/>
    </row>
    <row r="286" spans="1:12" ht="15" customHeight="1" x14ac:dyDescent="0.25">
      <c r="A286" s="71" t="s">
        <v>113</v>
      </c>
      <c r="B286" s="7">
        <v>1.1000000000000001</v>
      </c>
      <c r="C286" s="78">
        <f t="shared" si="72"/>
        <v>104.50000000000001</v>
      </c>
      <c r="D286" s="8">
        <f t="shared" si="67"/>
        <v>110.00000000000001</v>
      </c>
      <c r="E286" s="8" t="str" cm="1">
        <f t="array" ref="E286">GetColorMatchValue(C286, $C$3:$C$10)</f>
        <v>s</v>
      </c>
      <c r="F286" s="88" t="str">
        <f t="shared" si="73"/>
        <v>&lt;tr&gt;&lt;td&gt;1 Set of 2 Reps &lt;/td&gt;&lt;td&gt;110%&lt;/td&gt;&lt;td&gt;${percent(s, 110)}&lt;/td&gt;&lt;/tr&gt;</v>
      </c>
      <c r="I286" s="45"/>
      <c r="K286" s="62"/>
      <c r="L286" s="62"/>
    </row>
    <row r="287" spans="1:12" ht="15" customHeight="1" x14ac:dyDescent="0.25">
      <c r="A287" s="71" t="s">
        <v>103</v>
      </c>
      <c r="B287" s="7">
        <v>0.9</v>
      </c>
      <c r="C287" s="78">
        <f t="shared" si="72"/>
        <v>85.5</v>
      </c>
      <c r="D287" s="8">
        <f t="shared" si="67"/>
        <v>90</v>
      </c>
      <c r="E287" s="8" t="str" cm="1">
        <f t="array" ref="E287">GetColorMatchValue(C287, $C$3:$C$10)</f>
        <v>s</v>
      </c>
      <c r="F287" s="88" t="str">
        <f t="shared" si="73"/>
        <v>&lt;tr&gt;&lt;td&gt;1 Set of 5 Reps &lt;/td&gt;&lt;td&gt;90%&lt;/td&gt;&lt;td&gt;${percent(s, 90)}&lt;/td&gt;&lt;/tr&gt;</v>
      </c>
      <c r="I287" s="45"/>
      <c r="K287" s="62"/>
      <c r="L287" s="62"/>
    </row>
    <row r="288" spans="1:12" ht="15" customHeight="1" x14ac:dyDescent="0.25">
      <c r="A288" s="71" t="s">
        <v>95</v>
      </c>
      <c r="B288" s="7">
        <v>1</v>
      </c>
      <c r="C288" s="78">
        <f t="shared" si="72"/>
        <v>95</v>
      </c>
      <c r="D288" s="8">
        <f t="shared" si="67"/>
        <v>100</v>
      </c>
      <c r="E288" s="8" t="str" cm="1">
        <f t="array" ref="E288">GetColorMatchValue(C288, $C$3:$C$10)</f>
        <v>s</v>
      </c>
      <c r="F288" s="88" t="str">
        <f t="shared" si="73"/>
        <v>&lt;tr&gt;&lt;td&gt;1 Set of 3 Reps &lt;/td&gt;&lt;td&gt;100%&lt;/td&gt;&lt;td&gt;${percent(s, 100)}&lt;/td&gt;&lt;/tr&gt;</v>
      </c>
      <c r="I288" s="45"/>
      <c r="K288" s="62"/>
      <c r="L288" s="62"/>
    </row>
    <row r="289" spans="1:12" ht="15" customHeight="1" x14ac:dyDescent="0.25">
      <c r="A289" s="71" t="s">
        <v>113</v>
      </c>
      <c r="B289" s="7">
        <v>1.1000000000000001</v>
      </c>
      <c r="C289" s="78">
        <f t="shared" si="72"/>
        <v>104.50000000000001</v>
      </c>
      <c r="D289" s="8">
        <f t="shared" si="67"/>
        <v>110.00000000000001</v>
      </c>
      <c r="E289" s="8" t="str" cm="1">
        <f t="array" ref="E289">GetColorMatchValue(C289, $C$3:$C$10)</f>
        <v>s</v>
      </c>
      <c r="F289" s="88" t="str">
        <f t="shared" si="73"/>
        <v>&lt;tr&gt;&lt;td&gt;1 Set of 2 Reps &lt;/td&gt;&lt;td&gt;110%&lt;/td&gt;&lt;td&gt;${percent(s, 110)}&lt;/td&gt;&lt;/tr&gt;</v>
      </c>
      <c r="I289" s="45"/>
      <c r="K289" s="62"/>
      <c r="L289" s="62"/>
    </row>
    <row r="290" spans="1:12" ht="15" customHeight="1" x14ac:dyDescent="0.25">
      <c r="A290" s="71" t="s">
        <v>103</v>
      </c>
      <c r="B290" s="7">
        <v>0.9</v>
      </c>
      <c r="C290" s="78">
        <f t="shared" si="72"/>
        <v>85.5</v>
      </c>
      <c r="D290" s="8">
        <f t="shared" si="67"/>
        <v>90</v>
      </c>
      <c r="E290" s="8" t="str" cm="1">
        <f t="array" ref="E290">GetColorMatchValue(C290, $C$3:$C$10)</f>
        <v>s</v>
      </c>
      <c r="F290" s="88" t="str">
        <f t="shared" si="73"/>
        <v>&lt;tr&gt;&lt;td&gt;1 Set of 5 Reps &lt;/td&gt;&lt;td&gt;90%&lt;/td&gt;&lt;td&gt;${percent(s, 90)}&lt;/td&gt;&lt;/tr&gt;</v>
      </c>
      <c r="I290" s="45"/>
      <c r="K290" s="62"/>
      <c r="L290" s="62"/>
    </row>
    <row r="291" spans="1:12" ht="15" customHeight="1" x14ac:dyDescent="0.25">
      <c r="A291" s="71" t="s">
        <v>95</v>
      </c>
      <c r="B291" s="7">
        <v>1</v>
      </c>
      <c r="C291" s="78">
        <f t="shared" si="72"/>
        <v>95</v>
      </c>
      <c r="D291" s="8">
        <f t="shared" si="67"/>
        <v>100</v>
      </c>
      <c r="E291" s="8" t="str" cm="1">
        <f t="array" ref="E291">GetColorMatchValue(C291, $C$3:$C$10)</f>
        <v>s</v>
      </c>
      <c r="F291" s="88" t="str">
        <f t="shared" si="73"/>
        <v>&lt;tr&gt;&lt;td&gt;1 Set of 3 Reps &lt;/td&gt;&lt;td&gt;100%&lt;/td&gt;&lt;td&gt;${percent(s, 100)}&lt;/td&gt;&lt;/tr&gt;</v>
      </c>
      <c r="I291" s="45"/>
      <c r="K291" s="62"/>
      <c r="L291" s="62"/>
    </row>
    <row r="292" spans="1:12" ht="15" customHeight="1" x14ac:dyDescent="0.25">
      <c r="A292" s="71" t="s">
        <v>113</v>
      </c>
      <c r="B292" s="7">
        <v>1.1000000000000001</v>
      </c>
      <c r="C292" s="78">
        <f t="shared" si="72"/>
        <v>104.50000000000001</v>
      </c>
      <c r="D292" s="8">
        <f t="shared" si="67"/>
        <v>110.00000000000001</v>
      </c>
      <c r="E292" s="8" t="str" cm="1">
        <f t="array" ref="E292">GetColorMatchValue(C292, $C$3:$C$10)</f>
        <v>s</v>
      </c>
      <c r="F292" s="88" t="str">
        <f t="shared" si="73"/>
        <v>&lt;tr&gt;&lt;td&gt;1 Set of 2 Reps &lt;/td&gt;&lt;td&gt;110%&lt;/td&gt;&lt;td&gt;${percent(s, 110)}&lt;/td&gt;&lt;/tr&gt;</v>
      </c>
      <c r="I292" s="45"/>
      <c r="K292" s="62"/>
      <c r="L292" s="62"/>
    </row>
    <row r="293" spans="1:12" ht="15" customHeight="1" x14ac:dyDescent="0.25">
      <c r="A293" s="90" t="s">
        <v>15</v>
      </c>
      <c r="B293" s="74" t="s">
        <v>93</v>
      </c>
      <c r="C293" s="75" t="s">
        <v>94</v>
      </c>
      <c r="D293" s="74" t="s">
        <v>192</v>
      </c>
      <c r="E293" s="75" t="s">
        <v>190</v>
      </c>
      <c r="F293" s="91" t="s">
        <v>191</v>
      </c>
      <c r="I293" s="45"/>
      <c r="K293" s="62"/>
      <c r="L293" s="62"/>
    </row>
    <row r="294" spans="1:12" ht="15" customHeight="1" x14ac:dyDescent="0.25">
      <c r="A294" s="72" t="s">
        <v>0</v>
      </c>
      <c r="B294" s="8"/>
      <c r="C294" s="76"/>
      <c r="D294" s="8" t="str">
        <f t="shared" si="67"/>
        <v/>
      </c>
      <c r="E294" s="8" t="str" cm="1">
        <f t="array" ref="E294">GetColorMatchValue(C294, $C$3:$C$10)</f>
        <v/>
      </c>
      <c r="F294" s="88" t="str">
        <f>"&lt;tr&gt;&lt;th colspan=""3""&gt;"&amp;A294&amp;"&lt;/th&gt;&lt;/tr&gt;"</f>
        <v>&lt;tr&gt;&lt;th colspan="3"&gt;Back Squat&lt;/th&gt;&lt;/tr&gt;</v>
      </c>
      <c r="I294" s="45"/>
      <c r="K294" s="62"/>
      <c r="L294" s="62"/>
    </row>
    <row r="295" spans="1:12" ht="15" customHeight="1" x14ac:dyDescent="0.25">
      <c r="A295" s="71" t="s">
        <v>95</v>
      </c>
      <c r="B295" s="7">
        <v>0.6</v>
      </c>
      <c r="C295" s="77">
        <f>$B$3*B295</f>
        <v>120</v>
      </c>
      <c r="D295" s="8">
        <f t="shared" si="67"/>
        <v>60</v>
      </c>
      <c r="E295" s="8" t="str" cm="1">
        <f t="array" ref="E295">GetColorMatchValue(C295, $C$3:$C$10)</f>
        <v>bs</v>
      </c>
      <c r="F295" s="88" t="str">
        <f t="shared" ref="F295:F298" si="74">"&lt;tr&gt;&lt;td&gt;"&amp;A295&amp;"&lt;/td&gt;&lt;td&gt;"&amp;D295&amp;"%&lt;/td&gt;&lt;td&gt;${percent("&amp;E295&amp;", "&amp;D295&amp;")}&lt;/td&gt;&lt;/tr&gt;"</f>
        <v>&lt;tr&gt;&lt;td&gt;1 Set of 3 Reps &lt;/td&gt;&lt;td&gt;60%&lt;/td&gt;&lt;td&gt;${percent(bs, 60)}&lt;/td&gt;&lt;/tr&gt;</v>
      </c>
      <c r="I295" s="45"/>
      <c r="K295" s="62"/>
      <c r="L295" s="62"/>
    </row>
    <row r="296" spans="1:12" ht="15" customHeight="1" x14ac:dyDescent="0.25">
      <c r="A296" s="71" t="s">
        <v>95</v>
      </c>
      <c r="B296" s="7">
        <v>0.7</v>
      </c>
      <c r="C296" s="77">
        <f t="shared" ref="C296:C298" si="75">$B$3*B296</f>
        <v>140</v>
      </c>
      <c r="D296" s="8">
        <f t="shared" si="67"/>
        <v>70</v>
      </c>
      <c r="E296" s="8" t="str" cm="1">
        <f t="array" ref="E296">GetColorMatchValue(C296, $C$3:$C$10)</f>
        <v>bs</v>
      </c>
      <c r="F296" s="88" t="str">
        <f t="shared" si="74"/>
        <v>&lt;tr&gt;&lt;td&gt;1 Set of 3 Reps &lt;/td&gt;&lt;td&gt;70%&lt;/td&gt;&lt;td&gt;${percent(bs, 70)}&lt;/td&gt;&lt;/tr&gt;</v>
      </c>
      <c r="I296" s="45"/>
      <c r="K296" s="62"/>
      <c r="L296" s="62"/>
    </row>
    <row r="297" spans="1:12" ht="15" customHeight="1" x14ac:dyDescent="0.25">
      <c r="A297" s="71" t="s">
        <v>95</v>
      </c>
      <c r="B297" s="7">
        <v>0.8</v>
      </c>
      <c r="C297" s="77">
        <f>$B$3*B297</f>
        <v>160</v>
      </c>
      <c r="D297" s="8">
        <f t="shared" si="67"/>
        <v>80</v>
      </c>
      <c r="E297" s="8" t="str" cm="1">
        <f t="array" ref="E297">GetColorMatchValue(C297, $C$3:$C$10)</f>
        <v>bs</v>
      </c>
      <c r="F297" s="88" t="str">
        <f t="shared" si="74"/>
        <v>&lt;tr&gt;&lt;td&gt;1 Set of 3 Reps &lt;/td&gt;&lt;td&gt;80%&lt;/td&gt;&lt;td&gt;${percent(bs, 80)}&lt;/td&gt;&lt;/tr&gt;</v>
      </c>
      <c r="I297" s="45"/>
      <c r="K297" s="62"/>
      <c r="L297" s="62"/>
    </row>
    <row r="298" spans="1:12" ht="15" customHeight="1" x14ac:dyDescent="0.25">
      <c r="A298" s="71" t="s">
        <v>141</v>
      </c>
      <c r="B298" s="7">
        <v>0.9</v>
      </c>
      <c r="C298" s="77">
        <f t="shared" si="75"/>
        <v>180</v>
      </c>
      <c r="D298" s="8">
        <f t="shared" si="67"/>
        <v>90</v>
      </c>
      <c r="E298" s="8" t="str" cm="1">
        <f t="array" ref="E298">GetColorMatchValue(C298, $C$3:$C$10)</f>
        <v>bs</v>
      </c>
      <c r="F298" s="88" t="str">
        <f t="shared" si="74"/>
        <v>&lt;tr&gt;&lt;td&gt;2 Sets of 2 Reps &lt;/td&gt;&lt;td&gt;90%&lt;/td&gt;&lt;td&gt;${percent(bs, 90)}&lt;/td&gt;&lt;/tr&gt;</v>
      </c>
      <c r="I298" s="45"/>
      <c r="K298" s="62"/>
      <c r="L298" s="62"/>
    </row>
    <row r="299" spans="1:12" ht="15" customHeight="1" x14ac:dyDescent="0.25">
      <c r="A299" s="71"/>
      <c r="B299" s="8"/>
      <c r="C299" s="76"/>
      <c r="D299" s="8" t="str">
        <f t="shared" si="67"/>
        <v/>
      </c>
      <c r="E299" s="8" t="str" cm="1">
        <f t="array" ref="E299">GetColorMatchValue(C299, $C$3:$C$10)</f>
        <v/>
      </c>
      <c r="F299" s="89" t="s">
        <v>193</v>
      </c>
      <c r="I299" s="45"/>
      <c r="K299" s="62"/>
      <c r="L299" s="62"/>
    </row>
    <row r="300" spans="1:12" ht="15" customHeight="1" x14ac:dyDescent="0.25">
      <c r="A300" s="72" t="s">
        <v>1</v>
      </c>
      <c r="B300" s="8"/>
      <c r="C300" s="76"/>
      <c r="D300" s="8" t="str">
        <f t="shared" si="67"/>
        <v/>
      </c>
      <c r="E300" s="8" t="str" cm="1">
        <f t="array" ref="E300">GetColorMatchValue(C300, $C$3:$C$10)</f>
        <v/>
      </c>
      <c r="F300" s="88" t="str">
        <f>"&lt;tr&gt;&lt;th colspan=""3""&gt;"&amp;A300&amp;"&lt;/th&gt;&lt;/tr&gt;"</f>
        <v>&lt;tr&gt;&lt;th colspan="3"&gt;Power Snatch&lt;/th&gt;&lt;/tr&gt;</v>
      </c>
      <c r="I300" s="45"/>
      <c r="K300" s="62"/>
      <c r="L300" s="62"/>
    </row>
    <row r="301" spans="1:12" ht="15" customHeight="1" x14ac:dyDescent="0.25">
      <c r="A301" s="71" t="s">
        <v>95</v>
      </c>
      <c r="B301" s="7">
        <v>0.6</v>
      </c>
      <c r="C301" s="78">
        <f t="shared" ref="C301:C307" si="76">$B$7*B301</f>
        <v>57</v>
      </c>
      <c r="D301" s="8">
        <f t="shared" si="67"/>
        <v>60</v>
      </c>
      <c r="E301" s="8" t="str" cm="1">
        <f t="array" ref="E301">GetColorMatchValue(C301, $C$3:$C$10)</f>
        <v>s</v>
      </c>
      <c r="F301" s="88" t="str">
        <f t="shared" ref="F301:F307" si="77">"&lt;tr&gt;&lt;td&gt;"&amp;A301&amp;"&lt;/td&gt;&lt;td&gt;"&amp;D301&amp;"%&lt;/td&gt;&lt;td&gt;${percent("&amp;E301&amp;", "&amp;D301&amp;")}&lt;/td&gt;&lt;/tr&gt;"</f>
        <v>&lt;tr&gt;&lt;td&gt;1 Set of 3 Reps &lt;/td&gt;&lt;td&gt;60%&lt;/td&gt;&lt;td&gt;${percent(s, 60)}&lt;/td&gt;&lt;/tr&gt;</v>
      </c>
      <c r="I301" s="45"/>
      <c r="K301" s="62"/>
      <c r="L301" s="62"/>
    </row>
    <row r="302" spans="1:12" ht="15" customHeight="1" x14ac:dyDescent="0.25">
      <c r="A302" s="71" t="s">
        <v>95</v>
      </c>
      <c r="B302" s="7">
        <v>0.65</v>
      </c>
      <c r="C302" s="78">
        <f t="shared" si="76"/>
        <v>61.75</v>
      </c>
      <c r="D302" s="8">
        <f t="shared" si="67"/>
        <v>65</v>
      </c>
      <c r="E302" s="8" t="str" cm="1">
        <f t="array" ref="E302">GetColorMatchValue(C302, $C$3:$C$10)</f>
        <v>s</v>
      </c>
      <c r="F302" s="88" t="str">
        <f t="shared" si="77"/>
        <v>&lt;tr&gt;&lt;td&gt;1 Set of 3 Reps &lt;/td&gt;&lt;td&gt;65%&lt;/td&gt;&lt;td&gt;${percent(s, 65)}&lt;/td&gt;&lt;/tr&gt;</v>
      </c>
      <c r="I302" s="45"/>
      <c r="K302" s="62"/>
      <c r="L302" s="62"/>
    </row>
    <row r="303" spans="1:12" ht="15" customHeight="1" x14ac:dyDescent="0.25">
      <c r="A303" s="71" t="s">
        <v>95</v>
      </c>
      <c r="B303" s="7">
        <v>0.7</v>
      </c>
      <c r="C303" s="78">
        <f t="shared" si="76"/>
        <v>66.5</v>
      </c>
      <c r="D303" s="8">
        <f t="shared" si="67"/>
        <v>70</v>
      </c>
      <c r="E303" s="8" t="str" cm="1">
        <f t="array" ref="E303">GetColorMatchValue(C303, $C$3:$C$10)</f>
        <v>s</v>
      </c>
      <c r="F303" s="88" t="str">
        <f t="shared" si="77"/>
        <v>&lt;tr&gt;&lt;td&gt;1 Set of 3 Reps &lt;/td&gt;&lt;td&gt;70%&lt;/td&gt;&lt;td&gt;${percent(s, 70)}&lt;/td&gt;&lt;/tr&gt;</v>
      </c>
      <c r="I303" s="45"/>
      <c r="K303" s="62"/>
      <c r="L303" s="62"/>
    </row>
    <row r="304" spans="1:12" ht="15" customHeight="1" x14ac:dyDescent="0.25">
      <c r="A304" s="71" t="s">
        <v>98</v>
      </c>
      <c r="B304" s="7">
        <v>0.75</v>
      </c>
      <c r="C304" s="78">
        <f t="shared" si="76"/>
        <v>71.25</v>
      </c>
      <c r="D304" s="8">
        <f t="shared" si="67"/>
        <v>75</v>
      </c>
      <c r="E304" s="8" t="str" cm="1">
        <f t="array" ref="E304">GetColorMatchValue(C304, $C$3:$C$10)</f>
        <v>s</v>
      </c>
      <c r="F304" s="88" t="str">
        <f t="shared" si="77"/>
        <v>&lt;tr&gt;&lt;td&gt;1 Set of 1 Rep &lt;/td&gt;&lt;td&gt;75%&lt;/td&gt;&lt;td&gt;${percent(s, 75)}&lt;/td&gt;&lt;/tr&gt;</v>
      </c>
      <c r="I304" s="45"/>
      <c r="K304" s="62"/>
      <c r="L304" s="62"/>
    </row>
    <row r="305" spans="1:12" ht="15" customHeight="1" x14ac:dyDescent="0.25">
      <c r="A305" s="71" t="s">
        <v>95</v>
      </c>
      <c r="B305" s="7">
        <v>0.6</v>
      </c>
      <c r="C305" s="78">
        <f t="shared" si="76"/>
        <v>57</v>
      </c>
      <c r="D305" s="8">
        <f t="shared" si="67"/>
        <v>60</v>
      </c>
      <c r="E305" s="8" t="str" cm="1">
        <f t="array" ref="E305">GetColorMatchValue(C305, $C$3:$C$10)</f>
        <v>s</v>
      </c>
      <c r="F305" s="88" t="str">
        <f t="shared" si="77"/>
        <v>&lt;tr&gt;&lt;td&gt;1 Set of 3 Reps &lt;/td&gt;&lt;td&gt;60%&lt;/td&gt;&lt;td&gt;${percent(s, 60)}&lt;/td&gt;&lt;/tr&gt;</v>
      </c>
      <c r="I305" s="45"/>
      <c r="K305" s="62"/>
      <c r="L305" s="62"/>
    </row>
    <row r="306" spans="1:12" ht="15" customHeight="1" x14ac:dyDescent="0.25">
      <c r="A306" s="71" t="s">
        <v>95</v>
      </c>
      <c r="B306" s="7">
        <v>0.65</v>
      </c>
      <c r="C306" s="78">
        <f t="shared" si="76"/>
        <v>61.75</v>
      </c>
      <c r="D306" s="8">
        <f t="shared" si="67"/>
        <v>65</v>
      </c>
      <c r="E306" s="8" t="str" cm="1">
        <f t="array" ref="E306">GetColorMatchValue(C306, $C$3:$C$10)</f>
        <v>s</v>
      </c>
      <c r="F306" s="88" t="str">
        <f t="shared" si="77"/>
        <v>&lt;tr&gt;&lt;td&gt;1 Set of 3 Reps &lt;/td&gt;&lt;td&gt;65%&lt;/td&gt;&lt;td&gt;${percent(s, 65)}&lt;/td&gt;&lt;/tr&gt;</v>
      </c>
      <c r="I306" s="45"/>
      <c r="K306" s="62"/>
      <c r="L306" s="62"/>
    </row>
    <row r="307" spans="1:12" ht="15" customHeight="1" x14ac:dyDescent="0.25">
      <c r="A307" s="71" t="s">
        <v>95</v>
      </c>
      <c r="B307" s="7">
        <v>0.7</v>
      </c>
      <c r="C307" s="78">
        <f t="shared" si="76"/>
        <v>66.5</v>
      </c>
      <c r="D307" s="8">
        <f t="shared" si="67"/>
        <v>70</v>
      </c>
      <c r="E307" s="8" t="str" cm="1">
        <f t="array" ref="E307">GetColorMatchValue(C307, $C$3:$C$10)</f>
        <v>s</v>
      </c>
      <c r="F307" s="88" t="str">
        <f t="shared" si="77"/>
        <v>&lt;tr&gt;&lt;td&gt;1 Set of 3 Reps &lt;/td&gt;&lt;td&gt;70%&lt;/td&gt;&lt;td&gt;${percent(s, 70)}&lt;/td&gt;&lt;/tr&gt;</v>
      </c>
      <c r="I307" s="45"/>
      <c r="K307" s="62"/>
      <c r="L307" s="62"/>
    </row>
    <row r="308" spans="1:12" ht="15" customHeight="1" x14ac:dyDescent="0.25">
      <c r="A308" s="71"/>
      <c r="B308" s="8"/>
      <c r="C308" s="76"/>
      <c r="D308" s="8" t="str">
        <f t="shared" si="67"/>
        <v/>
      </c>
      <c r="E308" s="8" t="str" cm="1">
        <f t="array" ref="E308">GetColorMatchValue(C308, $C$3:$C$10)</f>
        <v/>
      </c>
      <c r="F308" s="89" t="s">
        <v>193</v>
      </c>
      <c r="I308" s="45"/>
      <c r="K308" s="62"/>
      <c r="L308" s="62"/>
    </row>
    <row r="309" spans="1:12" ht="15" customHeight="1" x14ac:dyDescent="0.25">
      <c r="A309" s="72" t="s">
        <v>50</v>
      </c>
      <c r="B309" s="8"/>
      <c r="C309" s="76"/>
      <c r="D309" s="8" t="str">
        <f t="shared" si="67"/>
        <v/>
      </c>
      <c r="E309" s="8" t="str" cm="1">
        <f t="array" ref="E309">GetColorMatchValue(C309, $C$3:$C$10)</f>
        <v/>
      </c>
      <c r="F309" s="88" t="str">
        <f>"&lt;tr&gt;&lt;th colspan=""3""&gt;"&amp;A309&amp;"&lt;/th&gt;&lt;/tr&gt;"</f>
        <v>&lt;tr&gt;&lt;th colspan="3"&gt;Power Clean&lt;/th&gt;&lt;/tr&gt;</v>
      </c>
      <c r="I309" s="45"/>
      <c r="K309" s="62"/>
      <c r="L309" s="62"/>
    </row>
    <row r="310" spans="1:12" ht="15" customHeight="1" x14ac:dyDescent="0.25">
      <c r="A310" s="71" t="s">
        <v>95</v>
      </c>
      <c r="B310" s="7">
        <v>0.6</v>
      </c>
      <c r="C310" s="80">
        <f t="shared" ref="C310:C315" si="78">$B$6*B310</f>
        <v>66</v>
      </c>
      <c r="D310" s="8">
        <f t="shared" si="67"/>
        <v>60</v>
      </c>
      <c r="E310" s="8" t="str" cm="1">
        <f t="array" ref="E310">GetColorMatchValue(C310, $C$3:$C$10)</f>
        <v>c</v>
      </c>
      <c r="F310" s="88" t="str">
        <f t="shared" ref="F310:F315" si="79">"&lt;tr&gt;&lt;td&gt;"&amp;A310&amp;"&lt;/td&gt;&lt;td&gt;"&amp;D310&amp;"%&lt;/td&gt;&lt;td&gt;${percent("&amp;E310&amp;", "&amp;D310&amp;")}&lt;/td&gt;&lt;/tr&gt;"</f>
        <v>&lt;tr&gt;&lt;td&gt;1 Set of 3 Reps &lt;/td&gt;&lt;td&gt;60%&lt;/td&gt;&lt;td&gt;${percent(c, 60)}&lt;/td&gt;&lt;/tr&gt;</v>
      </c>
      <c r="I310" s="45"/>
      <c r="K310" s="62"/>
      <c r="L310" s="62"/>
    </row>
    <row r="311" spans="1:12" ht="15" customHeight="1" x14ac:dyDescent="0.25">
      <c r="A311" s="71" t="s">
        <v>95</v>
      </c>
      <c r="B311" s="7">
        <v>0.65</v>
      </c>
      <c r="C311" s="80">
        <f t="shared" si="78"/>
        <v>71.5</v>
      </c>
      <c r="D311" s="8">
        <f t="shared" si="67"/>
        <v>65</v>
      </c>
      <c r="E311" s="8" t="str" cm="1">
        <f t="array" ref="E311">GetColorMatchValue(C311, $C$3:$C$10)</f>
        <v>c</v>
      </c>
      <c r="F311" s="88" t="str">
        <f t="shared" si="79"/>
        <v>&lt;tr&gt;&lt;td&gt;1 Set of 3 Reps &lt;/td&gt;&lt;td&gt;65%&lt;/td&gt;&lt;td&gt;${percent(c, 65)}&lt;/td&gt;&lt;/tr&gt;</v>
      </c>
      <c r="I311" s="45"/>
      <c r="K311" s="62"/>
      <c r="L311" s="62"/>
    </row>
    <row r="312" spans="1:12" ht="15" customHeight="1" x14ac:dyDescent="0.25">
      <c r="A312" s="71" t="s">
        <v>95</v>
      </c>
      <c r="B312" s="7">
        <v>0.7</v>
      </c>
      <c r="C312" s="80">
        <f t="shared" si="78"/>
        <v>77</v>
      </c>
      <c r="D312" s="8">
        <f t="shared" si="67"/>
        <v>70</v>
      </c>
      <c r="E312" s="8" t="str" cm="1">
        <f t="array" ref="E312">GetColorMatchValue(C312, $C$3:$C$10)</f>
        <v>c</v>
      </c>
      <c r="F312" s="88" t="str">
        <f t="shared" si="79"/>
        <v>&lt;tr&gt;&lt;td&gt;1 Set of 3 Reps &lt;/td&gt;&lt;td&gt;70%&lt;/td&gt;&lt;td&gt;${percent(c, 70)}&lt;/td&gt;&lt;/tr&gt;</v>
      </c>
      <c r="I312" s="45"/>
      <c r="K312" s="62"/>
      <c r="L312" s="62"/>
    </row>
    <row r="313" spans="1:12" ht="15" customHeight="1" x14ac:dyDescent="0.25">
      <c r="A313" s="71" t="s">
        <v>98</v>
      </c>
      <c r="B313" s="7">
        <v>0.75</v>
      </c>
      <c r="C313" s="80">
        <f t="shared" si="78"/>
        <v>82.5</v>
      </c>
      <c r="D313" s="8">
        <f t="shared" si="67"/>
        <v>75</v>
      </c>
      <c r="E313" s="8" t="str" cm="1">
        <f t="array" ref="E313">GetColorMatchValue(C313, $C$3:$C$10)</f>
        <v>c</v>
      </c>
      <c r="F313" s="88" t="str">
        <f t="shared" si="79"/>
        <v>&lt;tr&gt;&lt;td&gt;1 Set of 1 Rep &lt;/td&gt;&lt;td&gt;75%&lt;/td&gt;&lt;td&gt;${percent(c, 75)}&lt;/td&gt;&lt;/tr&gt;</v>
      </c>
      <c r="I313" s="45"/>
      <c r="K313" s="62"/>
      <c r="L313" s="62"/>
    </row>
    <row r="314" spans="1:12" ht="15" customHeight="1" x14ac:dyDescent="0.25">
      <c r="A314" s="71" t="s">
        <v>95</v>
      </c>
      <c r="B314" s="7">
        <v>0.6</v>
      </c>
      <c r="C314" s="80">
        <f t="shared" si="78"/>
        <v>66</v>
      </c>
      <c r="D314" s="8">
        <f t="shared" si="67"/>
        <v>60</v>
      </c>
      <c r="E314" s="8" t="str" cm="1">
        <f t="array" ref="E314">GetColorMatchValue(C314, $C$3:$C$10)</f>
        <v>c</v>
      </c>
      <c r="F314" s="88" t="str">
        <f t="shared" si="79"/>
        <v>&lt;tr&gt;&lt;td&gt;1 Set of 3 Reps &lt;/td&gt;&lt;td&gt;60%&lt;/td&gt;&lt;td&gt;${percent(c, 60)}&lt;/td&gt;&lt;/tr&gt;</v>
      </c>
      <c r="I314" s="45"/>
      <c r="K314" s="62"/>
      <c r="L314" s="62"/>
    </row>
    <row r="315" spans="1:12" ht="15" customHeight="1" x14ac:dyDescent="0.25">
      <c r="A315" s="71" t="s">
        <v>95</v>
      </c>
      <c r="B315" s="7">
        <v>0.65</v>
      </c>
      <c r="C315" s="80">
        <f t="shared" si="78"/>
        <v>71.5</v>
      </c>
      <c r="D315" s="8">
        <f t="shared" si="67"/>
        <v>65</v>
      </c>
      <c r="E315" s="8" t="str" cm="1">
        <f t="array" ref="E315">GetColorMatchValue(C315, $C$3:$C$10)</f>
        <v>c</v>
      </c>
      <c r="F315" s="88" t="str">
        <f t="shared" si="79"/>
        <v>&lt;tr&gt;&lt;td&gt;1 Set of 3 Reps &lt;/td&gt;&lt;td&gt;65%&lt;/td&gt;&lt;td&gt;${percent(c, 65)}&lt;/td&gt;&lt;/tr&gt;</v>
      </c>
      <c r="I315" s="45"/>
      <c r="K315" s="62"/>
      <c r="L315" s="62"/>
    </row>
    <row r="316" spans="1:12" ht="15" customHeight="1" x14ac:dyDescent="0.25">
      <c r="A316" s="71"/>
      <c r="B316" s="8"/>
      <c r="C316" s="76"/>
      <c r="D316" s="8" t="str">
        <f t="shared" si="67"/>
        <v/>
      </c>
      <c r="E316" s="8" t="str" cm="1">
        <f t="array" ref="E316">GetColorMatchValue(C316, $C$3:$C$10)</f>
        <v/>
      </c>
      <c r="F316" s="89" t="s">
        <v>193</v>
      </c>
      <c r="I316" s="45"/>
      <c r="K316" s="62"/>
      <c r="L316" s="62"/>
    </row>
    <row r="317" spans="1:12" ht="15" customHeight="1" x14ac:dyDescent="0.25">
      <c r="A317" s="72" t="s">
        <v>86</v>
      </c>
      <c r="B317" s="8"/>
      <c r="C317" s="76"/>
      <c r="D317" s="8" t="str">
        <f t="shared" si="67"/>
        <v/>
      </c>
      <c r="E317" s="8" t="str" cm="1">
        <f t="array" ref="E317">GetColorMatchValue(C317, $C$3:$C$10)</f>
        <v/>
      </c>
      <c r="F317" s="88" t="str">
        <f>"&lt;tr&gt;&lt;th colspan=""3""&gt;"&amp;A317&amp;"&lt;/th&gt;&lt;/tr&gt;"</f>
        <v>&lt;tr&gt;&lt;th colspan="3"&gt;Clean Pulls &lt;/th&gt;&lt;/tr&gt;</v>
      </c>
      <c r="I317" s="45"/>
      <c r="K317" s="62"/>
      <c r="L317" s="62"/>
    </row>
    <row r="318" spans="1:12" ht="15" customHeight="1" x14ac:dyDescent="0.25">
      <c r="A318" s="71" t="s">
        <v>105</v>
      </c>
      <c r="B318" s="7">
        <v>0.9</v>
      </c>
      <c r="C318" s="80">
        <f t="shared" ref="C318:C322" si="80">$B$6*B318</f>
        <v>99</v>
      </c>
      <c r="D318" s="8">
        <f t="shared" si="67"/>
        <v>90</v>
      </c>
      <c r="E318" s="8" t="str" cm="1">
        <f t="array" ref="E318">GetColorMatchValue(C318, $C$3:$C$10)</f>
        <v>c</v>
      </c>
      <c r="F318" s="88" t="str">
        <f t="shared" ref="F318:F322" si="81">"&lt;tr&gt;&lt;td&gt;"&amp;A318&amp;"&lt;/td&gt;&lt;td&gt;"&amp;D318&amp;"%&lt;/td&gt;&lt;td&gt;${percent("&amp;E318&amp;", "&amp;D318&amp;")}&lt;/td&gt;&lt;/tr&gt;"</f>
        <v>&lt;tr&gt;&lt;td&gt;1 Set of 4 Reps &lt;/td&gt;&lt;td&gt;90%&lt;/td&gt;&lt;td&gt;${percent(c, 90)}&lt;/td&gt;&lt;/tr&gt;</v>
      </c>
      <c r="I318" s="45"/>
      <c r="K318" s="62"/>
      <c r="L318" s="62"/>
    </row>
    <row r="319" spans="1:12" ht="15" customHeight="1" x14ac:dyDescent="0.25">
      <c r="A319" s="71" t="s">
        <v>95</v>
      </c>
      <c r="B319" s="7">
        <v>1</v>
      </c>
      <c r="C319" s="80">
        <f t="shared" si="80"/>
        <v>110</v>
      </c>
      <c r="D319" s="8">
        <f t="shared" si="67"/>
        <v>100</v>
      </c>
      <c r="E319" s="8" t="str" cm="1">
        <f t="array" ref="E319">GetColorMatchValue(C319, $C$3:$C$10)</f>
        <v>c</v>
      </c>
      <c r="F319" s="88" t="str">
        <f t="shared" si="81"/>
        <v>&lt;tr&gt;&lt;td&gt;1 Set of 3 Reps &lt;/td&gt;&lt;td&gt;100%&lt;/td&gt;&lt;td&gt;${percent(c, 100)}&lt;/td&gt;&lt;/tr&gt;</v>
      </c>
      <c r="I319" s="45"/>
      <c r="K319" s="62"/>
      <c r="L319" s="62"/>
    </row>
    <row r="320" spans="1:12" ht="15" customHeight="1" x14ac:dyDescent="0.25">
      <c r="A320" s="71" t="s">
        <v>105</v>
      </c>
      <c r="B320" s="7">
        <v>0.9</v>
      </c>
      <c r="C320" s="80">
        <f t="shared" si="80"/>
        <v>99</v>
      </c>
      <c r="D320" s="8">
        <f t="shared" si="67"/>
        <v>90</v>
      </c>
      <c r="E320" s="8" t="str" cm="1">
        <f t="array" ref="E320">GetColorMatchValue(C320, $C$3:$C$10)</f>
        <v>c</v>
      </c>
      <c r="F320" s="88" t="str">
        <f t="shared" si="81"/>
        <v>&lt;tr&gt;&lt;td&gt;1 Set of 4 Reps &lt;/td&gt;&lt;td&gt;90%&lt;/td&gt;&lt;td&gt;${percent(c, 90)}&lt;/td&gt;&lt;/tr&gt;</v>
      </c>
      <c r="I320" s="45"/>
      <c r="K320" s="62"/>
      <c r="L320" s="62"/>
    </row>
    <row r="321" spans="1:12" ht="15" customHeight="1" x14ac:dyDescent="0.25">
      <c r="A321" s="71" t="s">
        <v>113</v>
      </c>
      <c r="B321" s="7">
        <v>1</v>
      </c>
      <c r="C321" s="80">
        <f t="shared" si="80"/>
        <v>110</v>
      </c>
      <c r="D321" s="8">
        <f t="shared" si="67"/>
        <v>100</v>
      </c>
      <c r="E321" s="8" t="str" cm="1">
        <f t="array" ref="E321">GetColorMatchValue(C321, $C$3:$C$10)</f>
        <v>c</v>
      </c>
      <c r="F321" s="88" t="str">
        <f t="shared" si="81"/>
        <v>&lt;tr&gt;&lt;td&gt;1 Set of 2 Reps &lt;/td&gt;&lt;td&gt;100%&lt;/td&gt;&lt;td&gt;${percent(c, 100)}&lt;/td&gt;&lt;/tr&gt;</v>
      </c>
      <c r="I321" s="45"/>
      <c r="K321" s="62"/>
      <c r="L321" s="62"/>
    </row>
    <row r="322" spans="1:12" ht="15" customHeight="1" x14ac:dyDescent="0.25">
      <c r="A322" s="71" t="s">
        <v>105</v>
      </c>
      <c r="B322" s="7">
        <v>0.9</v>
      </c>
      <c r="C322" s="80">
        <f t="shared" si="80"/>
        <v>99</v>
      </c>
      <c r="D322" s="8">
        <f t="shared" si="67"/>
        <v>90</v>
      </c>
      <c r="E322" s="8" t="str" cm="1">
        <f t="array" ref="E322">GetColorMatchValue(C322, $C$3:$C$10)</f>
        <v>c</v>
      </c>
      <c r="F322" s="88" t="str">
        <f t="shared" si="81"/>
        <v>&lt;tr&gt;&lt;td&gt;1 Set of 4 Reps &lt;/td&gt;&lt;td&gt;90%&lt;/td&gt;&lt;td&gt;${percent(c, 90)}&lt;/td&gt;&lt;/tr&gt;</v>
      </c>
      <c r="I322" s="45"/>
      <c r="K322" s="62"/>
      <c r="L322" s="62"/>
    </row>
    <row r="323" spans="1:12" ht="15" customHeight="1" x14ac:dyDescent="0.25">
      <c r="A323" s="71"/>
      <c r="B323" s="8"/>
      <c r="C323" s="76"/>
      <c r="D323" s="8" t="str">
        <f t="shared" si="67"/>
        <v/>
      </c>
      <c r="E323" s="8" t="str" cm="1">
        <f t="array" ref="E323">GetColorMatchValue(C323, $C$3:$C$10)</f>
        <v/>
      </c>
      <c r="F323" s="89" t="s">
        <v>193</v>
      </c>
      <c r="I323" s="45"/>
      <c r="K323" s="62"/>
      <c r="L323" s="62"/>
    </row>
    <row r="324" spans="1:12" ht="15" customHeight="1" x14ac:dyDescent="0.25">
      <c r="A324" s="72" t="s">
        <v>51</v>
      </c>
      <c r="B324" s="8"/>
      <c r="C324" s="76"/>
      <c r="D324" s="8" t="str">
        <f t="shared" si="67"/>
        <v/>
      </c>
      <c r="E324" s="8" t="str" cm="1">
        <f t="array" ref="E324">GetColorMatchValue(C324, $C$3:$C$10)</f>
        <v/>
      </c>
      <c r="F324" s="88" t="str">
        <f>"&lt;tr&gt;&lt;th colspan=""3""&gt;"&amp;A324&amp;"&lt;/th&gt;&lt;/tr&gt;"</f>
        <v>&lt;tr&gt;&lt;th colspan="3"&gt;Front Squat + Jerk&lt;/th&gt;&lt;/tr&gt;</v>
      </c>
      <c r="I324" s="45"/>
      <c r="K324" s="62"/>
      <c r="L324" s="62"/>
    </row>
    <row r="325" spans="1:12" ht="15" customHeight="1" x14ac:dyDescent="0.25">
      <c r="A325" s="71" t="s">
        <v>167</v>
      </c>
      <c r="B325" s="7">
        <v>0.6</v>
      </c>
      <c r="C325" s="84">
        <f t="shared" ref="C325:C327" si="82">$B$4*B325</f>
        <v>84</v>
      </c>
      <c r="D325" s="8">
        <f t="shared" si="67"/>
        <v>60</v>
      </c>
      <c r="E325" s="8" t="str" cm="1">
        <f t="array" ref="E325">GetColorMatchValue(C325, $C$3:$C$10)</f>
        <v>fs</v>
      </c>
      <c r="F325" s="88" t="str">
        <f t="shared" ref="F325:F327" si="83">"&lt;tr&gt;&lt;td&gt;"&amp;A325&amp;"&lt;/td&gt;&lt;td&gt;"&amp;D325&amp;"%&lt;/td&gt;&lt;td&gt;${percent("&amp;E325&amp;", "&amp;D325&amp;")}&lt;/td&gt;&lt;/tr&gt;"</f>
        <v>&lt;tr&gt;&lt;td&gt;1 Set of 3 F.S. + 1 Jr. &lt;/td&gt;&lt;td&gt;60%&lt;/td&gt;&lt;td&gt;${percent(fs, 60)}&lt;/td&gt;&lt;/tr&gt;</v>
      </c>
      <c r="I325" s="45"/>
      <c r="K325" s="62"/>
      <c r="L325" s="62"/>
    </row>
    <row r="326" spans="1:12" ht="15" customHeight="1" x14ac:dyDescent="0.25">
      <c r="A326" s="71" t="s">
        <v>167</v>
      </c>
      <c r="B326" s="7">
        <v>0.7</v>
      </c>
      <c r="C326" s="84">
        <f t="shared" si="82"/>
        <v>98</v>
      </c>
      <c r="D326" s="8">
        <f t="shared" si="67"/>
        <v>70</v>
      </c>
      <c r="E326" s="8" t="str" cm="1">
        <f t="array" ref="E326">GetColorMatchValue(C326, $C$3:$C$10)</f>
        <v>fs</v>
      </c>
      <c r="F326" s="88" t="str">
        <f t="shared" si="83"/>
        <v>&lt;tr&gt;&lt;td&gt;1 Set of 3 F.S. + 1 Jr. &lt;/td&gt;&lt;td&gt;70%&lt;/td&gt;&lt;td&gt;${percent(fs, 70)}&lt;/td&gt;&lt;/tr&gt;</v>
      </c>
      <c r="I326" s="45"/>
      <c r="K326" s="62"/>
      <c r="L326" s="62"/>
    </row>
    <row r="327" spans="1:12" ht="15" customHeight="1" x14ac:dyDescent="0.25">
      <c r="A327" s="71" t="s">
        <v>168</v>
      </c>
      <c r="B327" s="7">
        <v>0.8</v>
      </c>
      <c r="C327" s="84">
        <f t="shared" si="82"/>
        <v>112</v>
      </c>
      <c r="D327" s="8">
        <f t="shared" si="67"/>
        <v>80</v>
      </c>
      <c r="E327" s="8" t="str" cm="1">
        <f t="array" ref="E327">GetColorMatchValue(C327, $C$3:$C$10)</f>
        <v>fs</v>
      </c>
      <c r="F327" s="88" t="str">
        <f t="shared" si="83"/>
        <v>&lt;tr&gt;&lt;td&gt;4 Sets of 2 F.S. + 1 Jr. &lt;/td&gt;&lt;td&gt;80%&lt;/td&gt;&lt;td&gt;${percent(fs, 80)}&lt;/td&gt;&lt;/tr&gt;</v>
      </c>
      <c r="I327" s="45"/>
      <c r="K327" s="62"/>
      <c r="L327" s="62"/>
    </row>
    <row r="328" spans="1:12" ht="15" customHeight="1" x14ac:dyDescent="0.25">
      <c r="A328" s="71"/>
      <c r="B328" s="8"/>
      <c r="C328" s="76"/>
      <c r="D328" s="8" t="str">
        <f t="shared" si="67"/>
        <v/>
      </c>
      <c r="E328" s="8" t="str" cm="1">
        <f t="array" ref="E328">GetColorMatchValue(C328, $C$3:$C$10)</f>
        <v/>
      </c>
      <c r="F328" s="89" t="s">
        <v>193</v>
      </c>
      <c r="I328" s="45"/>
      <c r="K328" s="62"/>
      <c r="L328" s="62"/>
    </row>
    <row r="329" spans="1:12" ht="15" customHeight="1" x14ac:dyDescent="0.25">
      <c r="A329" s="72" t="s">
        <v>27</v>
      </c>
      <c r="B329" s="8"/>
      <c r="C329" s="76"/>
      <c r="D329" s="8" t="str">
        <f t="shared" ref="D329:D387" si="84">IF(ISNUMBER(B329), B329 * 100, "")</f>
        <v/>
      </c>
      <c r="E329" s="8" t="str" cm="1">
        <f t="array" ref="E329">GetColorMatchValue(C329, $C$3:$C$10)</f>
        <v/>
      </c>
      <c r="F329" s="88" t="str">
        <f>"&lt;tr&gt;&lt;th colspan=""3""&gt;"&amp;A329&amp;"&lt;/th&gt;&lt;/tr&gt;"</f>
        <v>&lt;tr&gt;&lt;th colspan="3"&gt;Abdominals&lt;/th&gt;&lt;/tr&gt;</v>
      </c>
      <c r="I329" s="45"/>
      <c r="K329" s="62"/>
      <c r="L329" s="62"/>
    </row>
    <row r="330" spans="1:12" ht="15" customHeight="1" x14ac:dyDescent="0.25">
      <c r="A330" s="71" t="s">
        <v>200</v>
      </c>
      <c r="B330" s="8" t="s">
        <v>195</v>
      </c>
      <c r="C330" s="76"/>
      <c r="D330" s="8" t="str">
        <f t="shared" si="84"/>
        <v/>
      </c>
      <c r="E330" s="8" t="str" cm="1">
        <f t="array" ref="E330">GetColorMatchValue(C330, $C$3:$C$10)</f>
        <v/>
      </c>
      <c r="F330" s="88" t="str">
        <f>"&lt;tr&gt;&lt;td colspan=""3""&gt;"&amp;A330&amp;" "&amp;B330&amp;"&lt;/td&gt;&lt;/tr&gt;"</f>
        <v>&lt;tr&gt;&lt;td colspan="3"&gt;3 Sets of 30 Reps Athlete's choice on exercise selection.&lt;/td&gt;&lt;/tr&gt;</v>
      </c>
      <c r="I330" s="45"/>
      <c r="K330" s="62"/>
      <c r="L330" s="62"/>
    </row>
    <row r="331" spans="1:12" ht="15" customHeight="1" x14ac:dyDescent="0.25">
      <c r="A331" s="90" t="s">
        <v>16</v>
      </c>
      <c r="B331" s="74" t="s">
        <v>93</v>
      </c>
      <c r="C331" s="75" t="s">
        <v>94</v>
      </c>
      <c r="D331" s="74" t="s">
        <v>192</v>
      </c>
      <c r="E331" s="75" t="s">
        <v>190</v>
      </c>
      <c r="F331" s="91" t="s">
        <v>191</v>
      </c>
    </row>
    <row r="332" spans="1:12" ht="15" customHeight="1" x14ac:dyDescent="0.25">
      <c r="A332" s="72" t="s">
        <v>53</v>
      </c>
      <c r="B332" s="8"/>
      <c r="C332" s="76"/>
      <c r="D332" s="8" t="str">
        <f t="shared" si="84"/>
        <v/>
      </c>
      <c r="E332" s="8" t="str" cm="1">
        <f t="array" ref="E332">GetColorMatchValue(C332, $C$3:$C$10)</f>
        <v/>
      </c>
      <c r="F332" s="88" t="str">
        <f>"&lt;tr&gt;&lt;th colspan=""3""&gt;"&amp;A332&amp;"&lt;/th&gt;&lt;/tr&gt;"</f>
        <v>&lt;tr&gt;&lt;th colspan="3"&gt;Snatch Pulls + Snatch&lt;/th&gt;&lt;/tr&gt;</v>
      </c>
    </row>
    <row r="333" spans="1:12" ht="15" customHeight="1" x14ac:dyDescent="0.25">
      <c r="A333" s="71" t="s">
        <v>119</v>
      </c>
      <c r="B333" s="7">
        <v>0.6</v>
      </c>
      <c r="C333" s="78">
        <f t="shared" ref="C333:C335" si="85">$B$7*B333</f>
        <v>57</v>
      </c>
      <c r="D333" s="8">
        <f t="shared" si="84"/>
        <v>60</v>
      </c>
      <c r="E333" s="8" t="str" cm="1">
        <f t="array" ref="E333">GetColorMatchValue(C333, $C$3:$C$10)</f>
        <v>s</v>
      </c>
      <c r="F333" s="88" t="str">
        <f t="shared" ref="F333:F335" si="86">"&lt;tr&gt;&lt;td&gt;"&amp;A333&amp;"&lt;/td&gt;&lt;td&gt;"&amp;D333&amp;"%&lt;/td&gt;&lt;td&gt;${percent("&amp;E333&amp;", "&amp;D333&amp;")}&lt;/td&gt;&lt;/tr&gt;"</f>
        <v>&lt;tr&gt;&lt;td&gt;1 Set of 3 Sn.Pu. + 1 Sn. &lt;/td&gt;&lt;td&gt;60%&lt;/td&gt;&lt;td&gt;${percent(s, 60)}&lt;/td&gt;&lt;/tr&gt;</v>
      </c>
    </row>
    <row r="334" spans="1:12" ht="15" customHeight="1" x14ac:dyDescent="0.25">
      <c r="A334" s="71" t="s">
        <v>119</v>
      </c>
      <c r="B334" s="7">
        <v>0.7</v>
      </c>
      <c r="C334" s="78">
        <f t="shared" si="85"/>
        <v>66.5</v>
      </c>
      <c r="D334" s="8">
        <f t="shared" si="84"/>
        <v>70</v>
      </c>
      <c r="E334" s="8" t="str" cm="1">
        <f t="array" ref="E334">GetColorMatchValue(C334, $C$3:$C$10)</f>
        <v>s</v>
      </c>
      <c r="F334" s="88" t="str">
        <f t="shared" si="86"/>
        <v>&lt;tr&gt;&lt;td&gt;1 Set of 3 Sn.Pu. + 1 Sn. &lt;/td&gt;&lt;td&gt;70%&lt;/td&gt;&lt;td&gt;${percent(s, 70)}&lt;/td&gt;&lt;/tr&gt;</v>
      </c>
    </row>
    <row r="335" spans="1:12" ht="15" customHeight="1" x14ac:dyDescent="0.25">
      <c r="A335" s="71" t="s">
        <v>120</v>
      </c>
      <c r="B335" s="7">
        <v>0.8</v>
      </c>
      <c r="C335" s="78">
        <f t="shared" si="85"/>
        <v>76</v>
      </c>
      <c r="D335" s="8">
        <f t="shared" si="84"/>
        <v>80</v>
      </c>
      <c r="E335" s="8" t="str" cm="1">
        <f t="array" ref="E335">GetColorMatchValue(C335, $C$3:$C$10)</f>
        <v>s</v>
      </c>
      <c r="F335" s="88" t="str">
        <f t="shared" si="86"/>
        <v>&lt;tr&gt;&lt;td&gt;4 Sets of 3 Sn.Pu. + 1 Sn. &lt;/td&gt;&lt;td&gt;80%&lt;/td&gt;&lt;td&gt;${percent(s, 80)}&lt;/td&gt;&lt;/tr&gt;</v>
      </c>
    </row>
    <row r="336" spans="1:12" ht="15" customHeight="1" x14ac:dyDescent="0.25">
      <c r="A336" s="71"/>
      <c r="B336" s="8"/>
      <c r="C336" s="76"/>
      <c r="D336" s="8" t="str">
        <f t="shared" si="84"/>
        <v/>
      </c>
      <c r="E336" s="8" t="str" cm="1">
        <f t="array" ref="E336">GetColorMatchValue(C336, $C$3:$C$10)</f>
        <v/>
      </c>
      <c r="F336" s="89" t="s">
        <v>193</v>
      </c>
    </row>
    <row r="337" spans="1:6" ht="15" customHeight="1" x14ac:dyDescent="0.25">
      <c r="A337" s="72" t="s">
        <v>54</v>
      </c>
      <c r="B337" s="8"/>
      <c r="C337" s="76"/>
      <c r="D337" s="8" t="str">
        <f t="shared" si="84"/>
        <v/>
      </c>
      <c r="E337" s="8" t="str" cm="1">
        <f t="array" ref="E337">GetColorMatchValue(C337, $C$3:$C$10)</f>
        <v/>
      </c>
      <c r="F337" s="88" t="str">
        <f>"&lt;tr&gt;&lt;th colspan=""3""&gt;"&amp;A337&amp;"&lt;/th&gt;&lt;/tr&gt;"</f>
        <v>&lt;tr&gt;&lt;th colspan="3"&gt;Clean Pulls + Clean&lt;/th&gt;&lt;/tr&gt;</v>
      </c>
    </row>
    <row r="338" spans="1:6" ht="15" customHeight="1" x14ac:dyDescent="0.25">
      <c r="A338" s="71" t="s">
        <v>121</v>
      </c>
      <c r="B338" s="7">
        <v>0.6</v>
      </c>
      <c r="C338" s="80">
        <f t="shared" ref="C338:C340" si="87">$B$6*B338</f>
        <v>66</v>
      </c>
      <c r="D338" s="8">
        <f t="shared" si="84"/>
        <v>60</v>
      </c>
      <c r="E338" s="8" t="str" cm="1">
        <f t="array" ref="E338">GetColorMatchValue(C338, $C$3:$C$10)</f>
        <v>c</v>
      </c>
      <c r="F338" s="88" t="str">
        <f t="shared" ref="F338:F340" si="88">"&lt;tr&gt;&lt;td&gt;"&amp;A338&amp;"&lt;/td&gt;&lt;td&gt;"&amp;D338&amp;"%&lt;/td&gt;&lt;td&gt;${percent("&amp;E338&amp;", "&amp;D338&amp;")}&lt;/td&gt;&lt;/tr&gt;"</f>
        <v>&lt;tr&gt;&lt;td&gt;1 Set of 3 Cl.Pu. + 1 Cl. &lt;/td&gt;&lt;td&gt;60%&lt;/td&gt;&lt;td&gt;${percent(c, 60)}&lt;/td&gt;&lt;/tr&gt;</v>
      </c>
    </row>
    <row r="339" spans="1:6" ht="15" customHeight="1" x14ac:dyDescent="0.25">
      <c r="A339" s="71" t="s">
        <v>121</v>
      </c>
      <c r="B339" s="7">
        <v>0.7</v>
      </c>
      <c r="C339" s="80">
        <f t="shared" si="87"/>
        <v>77</v>
      </c>
      <c r="D339" s="8">
        <f t="shared" si="84"/>
        <v>70</v>
      </c>
      <c r="E339" s="8" t="str" cm="1">
        <f t="array" ref="E339">GetColorMatchValue(C339, $C$3:$C$10)</f>
        <v>c</v>
      </c>
      <c r="F339" s="88" t="str">
        <f t="shared" si="88"/>
        <v>&lt;tr&gt;&lt;td&gt;1 Set of 3 Cl.Pu. + 1 Cl. &lt;/td&gt;&lt;td&gt;70%&lt;/td&gt;&lt;td&gt;${percent(c, 70)}&lt;/td&gt;&lt;/tr&gt;</v>
      </c>
    </row>
    <row r="340" spans="1:6" ht="15" customHeight="1" x14ac:dyDescent="0.25">
      <c r="A340" s="71" t="s">
        <v>122</v>
      </c>
      <c r="B340" s="7">
        <v>0.8</v>
      </c>
      <c r="C340" s="80">
        <f t="shared" si="87"/>
        <v>88</v>
      </c>
      <c r="D340" s="8">
        <f t="shared" si="84"/>
        <v>80</v>
      </c>
      <c r="E340" s="8" t="str" cm="1">
        <f t="array" ref="E340">GetColorMatchValue(C340, $C$3:$C$10)</f>
        <v>c</v>
      </c>
      <c r="F340" s="88" t="str">
        <f t="shared" si="88"/>
        <v>&lt;tr&gt;&lt;td&gt;3 Sets of 3 Cl.Pu. + 1 Cl. &lt;/td&gt;&lt;td&gt;80%&lt;/td&gt;&lt;td&gt;${percent(c, 80)}&lt;/td&gt;&lt;/tr&gt;</v>
      </c>
    </row>
    <row r="341" spans="1:6" ht="15" customHeight="1" x14ac:dyDescent="0.25">
      <c r="A341" s="71"/>
      <c r="B341" s="8"/>
      <c r="C341" s="76"/>
      <c r="D341" s="8" t="str">
        <f t="shared" si="84"/>
        <v/>
      </c>
      <c r="E341" s="8" t="str" cm="1">
        <f t="array" ref="E341">GetColorMatchValue(C341, $C$3:$C$10)</f>
        <v/>
      </c>
      <c r="F341" s="89" t="s">
        <v>193</v>
      </c>
    </row>
    <row r="342" spans="1:6" ht="15" customHeight="1" x14ac:dyDescent="0.25">
      <c r="A342" s="72" t="s">
        <v>208</v>
      </c>
      <c r="B342" s="8"/>
      <c r="C342" s="76"/>
      <c r="D342" s="8" t="str">
        <f t="shared" si="84"/>
        <v/>
      </c>
      <c r="E342" s="8" t="str" cm="1">
        <f t="array" ref="E342">GetColorMatchValue(C342, $C$3:$C$10)</f>
        <v/>
      </c>
      <c r="F342" s="88" t="str">
        <f>"&lt;tr&gt;&lt;th colspan=""3""&gt;"&amp;A342&amp;"&lt;/th&gt;&lt;/tr&gt;"</f>
        <v>&lt;tr&gt;&lt;th colspan="3"&gt;Jerk - from the rack&lt;/th&gt;&lt;/tr&gt;</v>
      </c>
    </row>
    <row r="343" spans="1:6" ht="15" customHeight="1" x14ac:dyDescent="0.25">
      <c r="A343" s="71" t="s">
        <v>95</v>
      </c>
      <c r="B343" s="7">
        <v>0.6</v>
      </c>
      <c r="C343" s="82">
        <f t="shared" ref="C343:C350" si="89">$B$8*B343</f>
        <v>69</v>
      </c>
      <c r="D343" s="8">
        <f t="shared" si="84"/>
        <v>60</v>
      </c>
      <c r="E343" s="8" t="str" cm="1">
        <f t="array" ref="E343">GetColorMatchValue(C343, $C$3:$C$10)</f>
        <v>cj</v>
      </c>
      <c r="F343" s="88" t="str">
        <f t="shared" ref="F343:F350" si="90">"&lt;tr&gt;&lt;td&gt;"&amp;A343&amp;"&lt;/td&gt;&lt;td&gt;"&amp;D343&amp;"%&lt;/td&gt;&lt;td&gt;${percent("&amp;E343&amp;", "&amp;D343&amp;")}&lt;/td&gt;&lt;/tr&gt;"</f>
        <v>&lt;tr&gt;&lt;td&gt;1 Set of 3 Reps &lt;/td&gt;&lt;td&gt;60%&lt;/td&gt;&lt;td&gt;${percent(cj, 60)}&lt;/td&gt;&lt;/tr&gt;</v>
      </c>
    </row>
    <row r="344" spans="1:6" ht="15" customHeight="1" x14ac:dyDescent="0.25">
      <c r="A344" s="71" t="s">
        <v>95</v>
      </c>
      <c r="B344" s="7">
        <v>0.7</v>
      </c>
      <c r="C344" s="82">
        <f t="shared" si="89"/>
        <v>80.5</v>
      </c>
      <c r="D344" s="8">
        <f t="shared" si="84"/>
        <v>70</v>
      </c>
      <c r="E344" s="8" t="str" cm="1">
        <f t="array" ref="E344">GetColorMatchValue(C344, $C$3:$C$10)</f>
        <v>cj</v>
      </c>
      <c r="F344" s="88" t="str">
        <f t="shared" si="90"/>
        <v>&lt;tr&gt;&lt;td&gt;1 Set of 3 Reps &lt;/td&gt;&lt;td&gt;70%&lt;/td&gt;&lt;td&gt;${percent(cj, 70)}&lt;/td&gt;&lt;/tr&gt;</v>
      </c>
    </row>
    <row r="345" spans="1:6" ht="15" customHeight="1" x14ac:dyDescent="0.25">
      <c r="A345" s="71" t="s">
        <v>113</v>
      </c>
      <c r="B345" s="7">
        <v>0.8</v>
      </c>
      <c r="C345" s="82">
        <f t="shared" si="89"/>
        <v>92</v>
      </c>
      <c r="D345" s="8">
        <f t="shared" si="84"/>
        <v>80</v>
      </c>
      <c r="E345" s="8" t="str" cm="1">
        <f t="array" ref="E345">GetColorMatchValue(C345, $C$3:$C$10)</f>
        <v>cj</v>
      </c>
      <c r="F345" s="88" t="str">
        <f t="shared" si="90"/>
        <v>&lt;tr&gt;&lt;td&gt;1 Set of 2 Reps &lt;/td&gt;&lt;td&gt;80%&lt;/td&gt;&lt;td&gt;${percent(cj, 80)}&lt;/td&gt;&lt;/tr&gt;</v>
      </c>
    </row>
    <row r="346" spans="1:6" ht="15" customHeight="1" x14ac:dyDescent="0.25">
      <c r="A346" s="71" t="s">
        <v>113</v>
      </c>
      <c r="B346" s="7">
        <v>0.85</v>
      </c>
      <c r="C346" s="82">
        <f t="shared" si="89"/>
        <v>97.75</v>
      </c>
      <c r="D346" s="8">
        <f t="shared" si="84"/>
        <v>85</v>
      </c>
      <c r="E346" s="8" t="str" cm="1">
        <f t="array" ref="E346">GetColorMatchValue(C346, $C$3:$C$10)</f>
        <v>cj</v>
      </c>
      <c r="F346" s="88" t="str">
        <f t="shared" si="90"/>
        <v>&lt;tr&gt;&lt;td&gt;1 Set of 2 Reps &lt;/td&gt;&lt;td&gt;85%&lt;/td&gt;&lt;td&gt;${percent(cj, 85)}&lt;/td&gt;&lt;/tr&gt;</v>
      </c>
    </row>
    <row r="347" spans="1:6" ht="15" customHeight="1" x14ac:dyDescent="0.25">
      <c r="A347" s="71" t="s">
        <v>98</v>
      </c>
      <c r="B347" s="7">
        <v>0.9</v>
      </c>
      <c r="C347" s="82">
        <f t="shared" si="89"/>
        <v>103.5</v>
      </c>
      <c r="D347" s="8">
        <f t="shared" si="84"/>
        <v>90</v>
      </c>
      <c r="E347" s="8" t="str" cm="1">
        <f t="array" ref="E347">GetColorMatchValue(C347, $C$3:$C$10)</f>
        <v>cj</v>
      </c>
      <c r="F347" s="88" t="str">
        <f t="shared" si="90"/>
        <v>&lt;tr&gt;&lt;td&gt;1 Set of 1 Rep &lt;/td&gt;&lt;td&gt;90%&lt;/td&gt;&lt;td&gt;${percent(cj, 90)}&lt;/td&gt;&lt;/tr&gt;</v>
      </c>
    </row>
    <row r="348" spans="1:6" ht="15" customHeight="1" x14ac:dyDescent="0.25">
      <c r="A348" s="71" t="s">
        <v>123</v>
      </c>
      <c r="B348" s="7">
        <v>0.95</v>
      </c>
      <c r="C348" s="82">
        <f t="shared" si="89"/>
        <v>109.25</v>
      </c>
      <c r="D348" s="8">
        <f t="shared" si="84"/>
        <v>95</v>
      </c>
      <c r="E348" s="8" t="str" cm="1">
        <f t="array" ref="E348">GetColorMatchValue(C348, $C$3:$C$10)</f>
        <v>cj</v>
      </c>
      <c r="F348" s="88" t="str">
        <f t="shared" si="90"/>
        <v>&lt;tr&gt;&lt;td&gt;1 Set of 1 Rep1 &lt;/td&gt;&lt;td&gt;95%&lt;/td&gt;&lt;td&gt;${percent(cj, 95)}&lt;/td&gt;&lt;/tr&gt;</v>
      </c>
    </row>
    <row r="349" spans="1:6" ht="15" customHeight="1" x14ac:dyDescent="0.25">
      <c r="A349" s="71" t="s">
        <v>113</v>
      </c>
      <c r="B349" s="7">
        <v>0.8</v>
      </c>
      <c r="C349" s="82">
        <f t="shared" si="89"/>
        <v>92</v>
      </c>
      <c r="D349" s="8">
        <f t="shared" si="84"/>
        <v>80</v>
      </c>
      <c r="E349" s="8" t="str" cm="1">
        <f t="array" ref="E349">GetColorMatchValue(C349, $C$3:$C$10)</f>
        <v>cj</v>
      </c>
      <c r="F349" s="88" t="str">
        <f t="shared" si="90"/>
        <v>&lt;tr&gt;&lt;td&gt;1 Set of 2 Reps &lt;/td&gt;&lt;td&gt;80%&lt;/td&gt;&lt;td&gt;${percent(cj, 80)}&lt;/td&gt;&lt;/tr&gt;</v>
      </c>
    </row>
    <row r="350" spans="1:6" ht="15" customHeight="1" x14ac:dyDescent="0.25">
      <c r="A350" s="71" t="s">
        <v>113</v>
      </c>
      <c r="B350" s="7">
        <v>0.85</v>
      </c>
      <c r="C350" s="82">
        <f t="shared" si="89"/>
        <v>97.75</v>
      </c>
      <c r="D350" s="8">
        <f t="shared" si="84"/>
        <v>85</v>
      </c>
      <c r="E350" s="8" t="str" cm="1">
        <f t="array" ref="E350">GetColorMatchValue(C350, $C$3:$C$10)</f>
        <v>cj</v>
      </c>
      <c r="F350" s="88" t="str">
        <f t="shared" si="90"/>
        <v>&lt;tr&gt;&lt;td&gt;1 Set of 2 Reps &lt;/td&gt;&lt;td&gt;85%&lt;/td&gt;&lt;td&gt;${percent(cj, 85)}&lt;/td&gt;&lt;/tr&gt;</v>
      </c>
    </row>
    <row r="351" spans="1:6" ht="15" customHeight="1" x14ac:dyDescent="0.25">
      <c r="A351" s="71"/>
      <c r="B351" s="8"/>
      <c r="C351" s="76"/>
      <c r="D351" s="8" t="str">
        <f t="shared" si="84"/>
        <v/>
      </c>
      <c r="E351" s="8" t="str" cm="1">
        <f t="array" ref="E351">GetColorMatchValue(C351, $C$3:$C$10)</f>
        <v/>
      </c>
      <c r="F351" s="89" t="s">
        <v>193</v>
      </c>
    </row>
    <row r="352" spans="1:6" ht="15" customHeight="1" x14ac:dyDescent="0.25">
      <c r="A352" s="72" t="s">
        <v>0</v>
      </c>
      <c r="B352" s="8"/>
      <c r="C352" s="76"/>
      <c r="D352" s="8" t="str">
        <f t="shared" si="84"/>
        <v/>
      </c>
      <c r="E352" s="8" t="str" cm="1">
        <f t="array" ref="E352">GetColorMatchValue(C352, $C$3:$C$10)</f>
        <v/>
      </c>
      <c r="F352" s="88" t="str">
        <f>"&lt;tr&gt;&lt;th colspan=""3""&gt;"&amp;A352&amp;"&lt;/th&gt;&lt;/tr&gt;"</f>
        <v>&lt;tr&gt;&lt;th colspan="3"&gt;Back Squat&lt;/th&gt;&lt;/tr&gt;</v>
      </c>
    </row>
    <row r="353" spans="1:12" ht="15" customHeight="1" x14ac:dyDescent="0.25">
      <c r="A353" s="71" t="s">
        <v>105</v>
      </c>
      <c r="B353" s="7">
        <v>0.6</v>
      </c>
      <c r="C353" s="77">
        <f>$B$3*B353</f>
        <v>120</v>
      </c>
      <c r="D353" s="8">
        <f t="shared" si="84"/>
        <v>60</v>
      </c>
      <c r="E353" s="8" t="str" cm="1">
        <f t="array" ref="E353">GetColorMatchValue(C353, $C$3:$C$10)</f>
        <v>bs</v>
      </c>
      <c r="F353" s="88" t="str">
        <f t="shared" ref="F353:F356" si="91">"&lt;tr&gt;&lt;td&gt;"&amp;A353&amp;"&lt;/td&gt;&lt;td&gt;"&amp;D353&amp;"%&lt;/td&gt;&lt;td&gt;${percent("&amp;E353&amp;", "&amp;D353&amp;")}&lt;/td&gt;&lt;/tr&gt;"</f>
        <v>&lt;tr&gt;&lt;td&gt;1 Set of 4 Reps &lt;/td&gt;&lt;td&gt;60%&lt;/td&gt;&lt;td&gt;${percent(bs, 60)}&lt;/td&gt;&lt;/tr&gt;</v>
      </c>
    </row>
    <row r="354" spans="1:12" ht="15" customHeight="1" x14ac:dyDescent="0.25">
      <c r="A354" s="71" t="s">
        <v>105</v>
      </c>
      <c r="B354" s="7">
        <v>0.7</v>
      </c>
      <c r="C354" s="77">
        <f>$B$3*B354</f>
        <v>140</v>
      </c>
      <c r="D354" s="8">
        <f t="shared" si="84"/>
        <v>70</v>
      </c>
      <c r="E354" s="8" t="str" cm="1">
        <f t="array" ref="E354">GetColorMatchValue(C354, $C$3:$C$10)</f>
        <v>bs</v>
      </c>
      <c r="F354" s="88" t="str">
        <f t="shared" si="91"/>
        <v>&lt;tr&gt;&lt;td&gt;1 Set of 4 Reps &lt;/td&gt;&lt;td&gt;70%&lt;/td&gt;&lt;td&gt;${percent(bs, 70)}&lt;/td&gt;&lt;/tr&gt;</v>
      </c>
    </row>
    <row r="355" spans="1:12" ht="15" customHeight="1" x14ac:dyDescent="0.25">
      <c r="A355" s="71" t="s">
        <v>105</v>
      </c>
      <c r="B355" s="7">
        <v>0.8</v>
      </c>
      <c r="C355" s="77">
        <f>$B$3*B355</f>
        <v>160</v>
      </c>
      <c r="D355" s="8">
        <f t="shared" si="84"/>
        <v>80</v>
      </c>
      <c r="E355" s="8" t="str" cm="1">
        <f t="array" ref="E355">GetColorMatchValue(C355, $C$3:$C$10)</f>
        <v>bs</v>
      </c>
      <c r="F355" s="88" t="str">
        <f t="shared" si="91"/>
        <v>&lt;tr&gt;&lt;td&gt;1 Set of 4 Reps &lt;/td&gt;&lt;td&gt;80%&lt;/td&gt;&lt;td&gt;${percent(bs, 80)}&lt;/td&gt;&lt;/tr&gt;</v>
      </c>
    </row>
    <row r="356" spans="1:12" ht="15" customHeight="1" x14ac:dyDescent="0.25">
      <c r="A356" s="71" t="s">
        <v>124</v>
      </c>
      <c r="B356" s="7">
        <v>0.85</v>
      </c>
      <c r="C356" s="77">
        <f t="shared" ref="C356" si="92">$B$3*B356</f>
        <v>170</v>
      </c>
      <c r="D356" s="8">
        <f t="shared" si="84"/>
        <v>85</v>
      </c>
      <c r="E356" s="8" t="str" cm="1">
        <f t="array" ref="E356">GetColorMatchValue(C356, $C$3:$C$10)</f>
        <v>bs</v>
      </c>
      <c r="F356" s="88" t="str">
        <f t="shared" si="91"/>
        <v>&lt;tr&gt;&lt;td&gt;3 Sets of 3 Reps &lt;/td&gt;&lt;td&gt;85%&lt;/td&gt;&lt;td&gt;${percent(bs, 85)}&lt;/td&gt;&lt;/tr&gt;</v>
      </c>
    </row>
    <row r="357" spans="1:12" ht="15" customHeight="1" x14ac:dyDescent="0.25">
      <c r="A357" s="71"/>
      <c r="B357" s="8"/>
      <c r="C357" s="76"/>
      <c r="D357" s="8" t="str">
        <f t="shared" si="84"/>
        <v/>
      </c>
      <c r="E357" s="8" t="str" cm="1">
        <f t="array" ref="E357">GetColorMatchValue(C357, $C$3:$C$10)</f>
        <v/>
      </c>
      <c r="F357" s="89" t="s">
        <v>193</v>
      </c>
    </row>
    <row r="358" spans="1:12" ht="15" customHeight="1" x14ac:dyDescent="0.25">
      <c r="A358" s="72" t="s">
        <v>47</v>
      </c>
      <c r="B358" s="8"/>
      <c r="C358" s="76"/>
      <c r="D358" s="8" t="str">
        <f t="shared" si="84"/>
        <v/>
      </c>
      <c r="E358" s="8" t="str" cm="1">
        <f t="array" ref="E358">GetColorMatchValue(C358, $C$3:$C$10)</f>
        <v/>
      </c>
      <c r="F358" s="88" t="str">
        <f>"&lt;tr&gt;&lt;th colspan=""3""&gt;"&amp;A358&amp;"&lt;/th&gt;&lt;/tr&gt;"</f>
        <v>&lt;tr&gt;&lt;th colspan="3"&gt;Press&lt;/th&gt;&lt;/tr&gt;</v>
      </c>
    </row>
    <row r="359" spans="1:12" ht="15" customHeight="1" x14ac:dyDescent="0.25">
      <c r="A359" s="71" t="s">
        <v>201</v>
      </c>
      <c r="B359" s="71" t="s">
        <v>198</v>
      </c>
      <c r="C359" s="76"/>
      <c r="D359" s="8" t="str">
        <f t="shared" si="84"/>
        <v/>
      </c>
      <c r="E359" s="8" t="str" cm="1">
        <f t="array" ref="E359">GetColorMatchValue(C359, $C$3:$C$10)</f>
        <v/>
      </c>
      <c r="F359" s="88" t="str">
        <f>"&lt;tr&gt;&lt;td colspan=""3""&gt;"&amp;A359&amp;" "&amp;B359&amp;"&lt;/td&gt;&lt;/tr&gt;"</f>
        <v>&lt;tr&gt;&lt;td colspan="3"&gt;5 Sets of 4 Reps Work up to weight where you can maintain proper form.&lt;/td&gt;&lt;/tr&gt;</v>
      </c>
    </row>
    <row r="360" spans="1:12" ht="15" customHeight="1" x14ac:dyDescent="0.25">
      <c r="A360" s="71"/>
      <c r="B360" s="8"/>
      <c r="C360" s="76"/>
      <c r="D360" s="8" t="str">
        <f t="shared" si="84"/>
        <v/>
      </c>
      <c r="E360" s="8" t="str" cm="1">
        <f t="array" ref="E360">GetColorMatchValue(C360, $C$3:$C$10)</f>
        <v/>
      </c>
      <c r="F360" s="89" t="s">
        <v>193</v>
      </c>
    </row>
    <row r="361" spans="1:12" ht="15" customHeight="1" x14ac:dyDescent="0.25">
      <c r="A361" s="72" t="s">
        <v>58</v>
      </c>
      <c r="B361" s="8"/>
      <c r="C361" s="76"/>
      <c r="D361" s="8" t="str">
        <f t="shared" si="84"/>
        <v/>
      </c>
      <c r="E361" s="8" t="str" cm="1">
        <f t="array" ref="E361">GetColorMatchValue(C361, $C$3:$C$10)</f>
        <v/>
      </c>
      <c r="F361" s="88" t="str">
        <f>"&lt;tr&gt;&lt;th colspan=""3""&gt;"&amp;A361&amp;"&lt;/th&gt;&lt;/tr&gt;"</f>
        <v>&lt;tr&gt;&lt;th colspan="3"&gt;Good Mornings&lt;/th&gt;&lt;/tr&gt;</v>
      </c>
    </row>
    <row r="362" spans="1:12" ht="15" customHeight="1" x14ac:dyDescent="0.25">
      <c r="A362" s="71" t="s">
        <v>202</v>
      </c>
      <c r="B362" s="71" t="s">
        <v>198</v>
      </c>
      <c r="C362" s="76"/>
      <c r="D362" s="8" t="str">
        <f t="shared" si="84"/>
        <v/>
      </c>
      <c r="E362" s="8" t="str" cm="1">
        <f t="array" ref="E362">GetColorMatchValue(C362, $C$3:$C$10)</f>
        <v/>
      </c>
      <c r="F362" s="88" t="str">
        <f>"&lt;tr&gt;&lt;td colspan=""3""&gt;"&amp;A362&amp;" "&amp;B362&amp;"&lt;/td&gt;&lt;/tr&gt;"</f>
        <v>&lt;tr&gt;&lt;td colspan="3"&gt;4 Sets of 8 Reps Work up to weight where you can maintain proper form.&lt;/td&gt;&lt;/tr&gt;</v>
      </c>
    </row>
    <row r="363" spans="1:12" ht="15" customHeight="1" x14ac:dyDescent="0.25">
      <c r="A363" s="90" t="s">
        <v>17</v>
      </c>
      <c r="B363" s="74" t="s">
        <v>93</v>
      </c>
      <c r="C363" s="75" t="s">
        <v>94</v>
      </c>
      <c r="D363" s="74" t="s">
        <v>192</v>
      </c>
      <c r="E363" s="75" t="s">
        <v>190</v>
      </c>
      <c r="F363" s="91" t="s">
        <v>191</v>
      </c>
      <c r="K363" s="62"/>
      <c r="L363" s="62"/>
    </row>
    <row r="364" spans="1:12" ht="15" customHeight="1" x14ac:dyDescent="0.25">
      <c r="A364" s="72" t="s">
        <v>34</v>
      </c>
      <c r="B364" s="8"/>
      <c r="C364" s="76"/>
      <c r="D364" s="8" t="str">
        <f t="shared" si="84"/>
        <v/>
      </c>
      <c r="E364" s="8" t="str" cm="1">
        <f t="array" ref="E364">GetColorMatchValue(C364, $C$3:$C$10)</f>
        <v/>
      </c>
      <c r="F364" s="88" t="str">
        <f>"&lt;tr&gt;&lt;th colspan=""3""&gt;"&amp;A364&amp;"&lt;/th&gt;&lt;/tr&gt;"</f>
        <v>&lt;tr&gt;&lt;th colspan="3"&gt;Front Squat&lt;/th&gt;&lt;/tr&gt;</v>
      </c>
      <c r="K364" s="62"/>
      <c r="L364" s="62"/>
    </row>
    <row r="365" spans="1:12" ht="15" customHeight="1" x14ac:dyDescent="0.25">
      <c r="A365" s="71" t="s">
        <v>95</v>
      </c>
      <c r="B365" s="7">
        <v>0.6</v>
      </c>
      <c r="C365" s="84">
        <f t="shared" ref="C365:C371" si="93">$B$4*B365</f>
        <v>84</v>
      </c>
      <c r="D365" s="8">
        <f t="shared" si="84"/>
        <v>60</v>
      </c>
      <c r="E365" s="8" t="str" cm="1">
        <f t="array" ref="E365">GetColorMatchValue(C365, $C$3:$C$10)</f>
        <v>fs</v>
      </c>
      <c r="F365" s="88" t="str">
        <f t="shared" ref="F365:F371" si="94">"&lt;tr&gt;&lt;td&gt;"&amp;A365&amp;"&lt;/td&gt;&lt;td&gt;"&amp;D365&amp;"%&lt;/td&gt;&lt;td&gt;${percent("&amp;E365&amp;", "&amp;D365&amp;")}&lt;/td&gt;&lt;/tr&gt;"</f>
        <v>&lt;tr&gt;&lt;td&gt;1 Set of 3 Reps &lt;/td&gt;&lt;td&gt;60%&lt;/td&gt;&lt;td&gt;${percent(fs, 60)}&lt;/td&gt;&lt;/tr&gt;</v>
      </c>
      <c r="K365" s="62"/>
      <c r="L365" s="62"/>
    </row>
    <row r="366" spans="1:12" ht="15" customHeight="1" x14ac:dyDescent="0.25">
      <c r="A366" s="71" t="s">
        <v>95</v>
      </c>
      <c r="B366" s="7">
        <v>0.7</v>
      </c>
      <c r="C366" s="84">
        <f t="shared" si="93"/>
        <v>98</v>
      </c>
      <c r="D366" s="8">
        <f t="shared" si="84"/>
        <v>70</v>
      </c>
      <c r="E366" s="8" t="str" cm="1">
        <f t="array" ref="E366">GetColorMatchValue(C366, $C$3:$C$10)</f>
        <v>fs</v>
      </c>
      <c r="F366" s="88" t="str">
        <f t="shared" si="94"/>
        <v>&lt;tr&gt;&lt;td&gt;1 Set of 3 Reps &lt;/td&gt;&lt;td&gt;70%&lt;/td&gt;&lt;td&gt;${percent(fs, 70)}&lt;/td&gt;&lt;/tr&gt;</v>
      </c>
      <c r="K366" s="62"/>
      <c r="L366" s="62"/>
    </row>
    <row r="367" spans="1:12" ht="15" customHeight="1" x14ac:dyDescent="0.25">
      <c r="A367" s="71" t="s">
        <v>95</v>
      </c>
      <c r="B367" s="7">
        <v>0.8</v>
      </c>
      <c r="C367" s="84">
        <f t="shared" si="93"/>
        <v>112</v>
      </c>
      <c r="D367" s="8">
        <f t="shared" si="84"/>
        <v>80</v>
      </c>
      <c r="E367" s="8" t="str" cm="1">
        <f t="array" ref="E367">GetColorMatchValue(C367, $C$3:$C$10)</f>
        <v>fs</v>
      </c>
      <c r="F367" s="88" t="str">
        <f t="shared" si="94"/>
        <v>&lt;tr&gt;&lt;td&gt;1 Set of 3 Reps &lt;/td&gt;&lt;td&gt;80%&lt;/td&gt;&lt;td&gt;${percent(fs, 80)}&lt;/td&gt;&lt;/tr&gt;</v>
      </c>
      <c r="K367" s="62"/>
      <c r="L367" s="62"/>
    </row>
    <row r="368" spans="1:12" ht="15" customHeight="1" x14ac:dyDescent="0.25">
      <c r="A368" s="71" t="s">
        <v>95</v>
      </c>
      <c r="B368" s="7">
        <v>0.85</v>
      </c>
      <c r="C368" s="84">
        <f t="shared" si="93"/>
        <v>119</v>
      </c>
      <c r="D368" s="8">
        <f t="shared" si="84"/>
        <v>85</v>
      </c>
      <c r="E368" s="8" t="str" cm="1">
        <f t="array" ref="E368">GetColorMatchValue(C368, $C$3:$C$10)</f>
        <v>fs</v>
      </c>
      <c r="F368" s="88" t="str">
        <f t="shared" si="94"/>
        <v>&lt;tr&gt;&lt;td&gt;1 Set of 3 Reps &lt;/td&gt;&lt;td&gt;85%&lt;/td&gt;&lt;td&gt;${percent(fs, 85)}&lt;/td&gt;&lt;/tr&gt;</v>
      </c>
      <c r="K368" s="62"/>
      <c r="L368" s="62"/>
    </row>
    <row r="369" spans="1:12" ht="15" customHeight="1" x14ac:dyDescent="0.25">
      <c r="A369" s="71" t="s">
        <v>113</v>
      </c>
      <c r="B369" s="7">
        <v>0.9</v>
      </c>
      <c r="C369" s="84">
        <f t="shared" si="93"/>
        <v>126</v>
      </c>
      <c r="D369" s="8">
        <f t="shared" si="84"/>
        <v>90</v>
      </c>
      <c r="E369" s="8" t="str" cm="1">
        <f t="array" ref="E369">GetColorMatchValue(C369, $C$3:$C$10)</f>
        <v>fs</v>
      </c>
      <c r="F369" s="88" t="str">
        <f t="shared" si="94"/>
        <v>&lt;tr&gt;&lt;td&gt;1 Set of 2 Reps &lt;/td&gt;&lt;td&gt;90%&lt;/td&gt;&lt;td&gt;${percent(fs, 90)}&lt;/td&gt;&lt;/tr&gt;</v>
      </c>
      <c r="K369" s="62"/>
      <c r="L369" s="62"/>
    </row>
    <row r="370" spans="1:12" ht="15" customHeight="1" x14ac:dyDescent="0.25">
      <c r="A370" s="71" t="s">
        <v>95</v>
      </c>
      <c r="B370" s="7">
        <v>0.9</v>
      </c>
      <c r="C370" s="84">
        <f t="shared" si="93"/>
        <v>126</v>
      </c>
      <c r="D370" s="8">
        <f t="shared" si="84"/>
        <v>90</v>
      </c>
      <c r="E370" s="8" t="str" cm="1">
        <f t="array" ref="E370">GetColorMatchValue(C370, $C$3:$C$10)</f>
        <v>fs</v>
      </c>
      <c r="F370" s="88" t="str">
        <f t="shared" si="94"/>
        <v>&lt;tr&gt;&lt;td&gt;1 Set of 3 Reps &lt;/td&gt;&lt;td&gt;90%&lt;/td&gt;&lt;td&gt;${percent(fs, 90)}&lt;/td&gt;&lt;/tr&gt;</v>
      </c>
      <c r="K370" s="62"/>
      <c r="L370" s="62"/>
    </row>
    <row r="371" spans="1:12" ht="15" customHeight="1" x14ac:dyDescent="0.25">
      <c r="A371" s="71" t="s">
        <v>95</v>
      </c>
      <c r="B371" s="7">
        <v>0.85</v>
      </c>
      <c r="C371" s="84">
        <f t="shared" si="93"/>
        <v>119</v>
      </c>
      <c r="D371" s="8">
        <f t="shared" si="84"/>
        <v>85</v>
      </c>
      <c r="E371" s="8" t="str" cm="1">
        <f t="array" ref="E371">GetColorMatchValue(C371, $C$3:$C$10)</f>
        <v>fs</v>
      </c>
      <c r="F371" s="88" t="str">
        <f t="shared" si="94"/>
        <v>&lt;tr&gt;&lt;td&gt;1 Set of 3 Reps &lt;/td&gt;&lt;td&gt;85%&lt;/td&gt;&lt;td&gt;${percent(fs, 85)}&lt;/td&gt;&lt;/tr&gt;</v>
      </c>
      <c r="K371" s="62"/>
      <c r="L371" s="62"/>
    </row>
    <row r="372" spans="1:12" ht="15" customHeight="1" x14ac:dyDescent="0.25">
      <c r="A372" s="71"/>
      <c r="B372" s="8"/>
      <c r="C372" s="76"/>
      <c r="D372" s="8" t="str">
        <f t="shared" si="84"/>
        <v/>
      </c>
      <c r="E372" s="8" t="str" cm="1">
        <f t="array" ref="E372">GetColorMatchValue(C372, $C$3:$C$10)</f>
        <v/>
      </c>
      <c r="F372" s="89" t="s">
        <v>193</v>
      </c>
      <c r="K372" s="62"/>
      <c r="L372" s="62"/>
    </row>
    <row r="373" spans="1:12" ht="15" customHeight="1" x14ac:dyDescent="0.25">
      <c r="A373" s="72" t="s">
        <v>60</v>
      </c>
      <c r="B373" s="8"/>
      <c r="C373" s="76"/>
      <c r="D373" s="8" t="str">
        <f t="shared" si="84"/>
        <v/>
      </c>
      <c r="E373" s="8" t="str" cm="1">
        <f t="array" ref="E373">GetColorMatchValue(C373, $C$3:$C$10)</f>
        <v/>
      </c>
      <c r="F373" s="88" t="str">
        <f>"&lt;tr&gt;&lt;th colspan=""3""&gt;"&amp;A373&amp;"&lt;/th&gt;&lt;/tr&gt;"</f>
        <v>&lt;tr&gt;&lt;th colspan="3"&gt;Power Snatch + Snatch Grip Behind the Neck Push Press&lt;/th&gt;&lt;/tr&gt;</v>
      </c>
      <c r="K373" s="62"/>
      <c r="L373" s="62"/>
    </row>
    <row r="374" spans="1:12" ht="15" customHeight="1" x14ac:dyDescent="0.25">
      <c r="A374" s="71" t="s">
        <v>142</v>
      </c>
      <c r="B374" s="7">
        <v>0.6</v>
      </c>
      <c r="C374" s="78">
        <f>$B$7*B374</f>
        <v>57</v>
      </c>
      <c r="D374" s="8">
        <f t="shared" si="84"/>
        <v>60</v>
      </c>
      <c r="E374" s="8" t="str" cm="1">
        <f t="array" ref="E374">GetColorMatchValue(C374, $C$3:$C$10)</f>
        <v>s</v>
      </c>
      <c r="F374" s="88" t="str">
        <f t="shared" ref="F374:F382" si="95">"&lt;tr&gt;&lt;td&gt;"&amp;A374&amp;"&lt;/td&gt;&lt;td&gt;"&amp;D374&amp;"%&lt;/td&gt;&lt;td&gt;${percent("&amp;E374&amp;", "&amp;D374&amp;")}&lt;/td&gt;&lt;/tr&gt;"</f>
        <v>&lt;tr&gt;&lt;td&gt;1 Set of 3 P.Sn. + 3 Sn.G.B.N.P.Pr. &lt;/td&gt;&lt;td&gt;60%&lt;/td&gt;&lt;td&gt;${percent(s, 60)}&lt;/td&gt;&lt;/tr&gt;</v>
      </c>
      <c r="K374" s="62"/>
      <c r="L374" s="62"/>
    </row>
    <row r="375" spans="1:12" ht="15" customHeight="1" x14ac:dyDescent="0.25">
      <c r="A375" s="71" t="s">
        <v>142</v>
      </c>
      <c r="B375" s="7">
        <v>0.65</v>
      </c>
      <c r="C375" s="78">
        <f t="shared" ref="C375:C382" si="96">$B$7*B375</f>
        <v>61.75</v>
      </c>
      <c r="D375" s="8">
        <f t="shared" si="84"/>
        <v>65</v>
      </c>
      <c r="E375" s="8" t="str" cm="1">
        <f t="array" ref="E375">GetColorMatchValue(C375, $C$3:$C$10)</f>
        <v>s</v>
      </c>
      <c r="F375" s="88" t="str">
        <f t="shared" si="95"/>
        <v>&lt;tr&gt;&lt;td&gt;1 Set of 3 P.Sn. + 3 Sn.G.B.N.P.Pr. &lt;/td&gt;&lt;td&gt;65%&lt;/td&gt;&lt;td&gt;${percent(s, 65)}&lt;/td&gt;&lt;/tr&gt;</v>
      </c>
      <c r="K375" s="62"/>
      <c r="L375" s="62"/>
    </row>
    <row r="376" spans="1:12" ht="15" customHeight="1" x14ac:dyDescent="0.25">
      <c r="A376" s="71" t="s">
        <v>143</v>
      </c>
      <c r="B376" s="7">
        <v>0.7</v>
      </c>
      <c r="C376" s="78">
        <f t="shared" si="96"/>
        <v>66.5</v>
      </c>
      <c r="D376" s="8">
        <f t="shared" si="84"/>
        <v>70</v>
      </c>
      <c r="E376" s="8" t="str" cm="1">
        <f t="array" ref="E376">GetColorMatchValue(C376, $C$3:$C$10)</f>
        <v>s</v>
      </c>
      <c r="F376" s="88" t="str">
        <f t="shared" si="95"/>
        <v>&lt;tr&gt;&lt;td&gt;1 Set of 2 P.Sn. + 3 Sn.G.B.N.P.Pr. &lt;/td&gt;&lt;td&gt;70%&lt;/td&gt;&lt;td&gt;${percent(s, 70)}&lt;/td&gt;&lt;/tr&gt;</v>
      </c>
      <c r="K376" s="62"/>
      <c r="L376" s="62"/>
    </row>
    <row r="377" spans="1:12" ht="15" customHeight="1" x14ac:dyDescent="0.25">
      <c r="A377" s="71" t="s">
        <v>142</v>
      </c>
      <c r="B377" s="7">
        <v>0.6</v>
      </c>
      <c r="C377" s="78">
        <f t="shared" si="96"/>
        <v>57</v>
      </c>
      <c r="D377" s="8">
        <f t="shared" si="84"/>
        <v>60</v>
      </c>
      <c r="E377" s="8" t="str" cm="1">
        <f t="array" ref="E377">GetColorMatchValue(C377, $C$3:$C$10)</f>
        <v>s</v>
      </c>
      <c r="F377" s="88" t="str">
        <f t="shared" si="95"/>
        <v>&lt;tr&gt;&lt;td&gt;1 Set of 3 P.Sn. + 3 Sn.G.B.N.P.Pr. &lt;/td&gt;&lt;td&gt;60%&lt;/td&gt;&lt;td&gt;${percent(s, 60)}&lt;/td&gt;&lt;/tr&gt;</v>
      </c>
      <c r="K377" s="62"/>
      <c r="L377" s="62"/>
    </row>
    <row r="378" spans="1:12" ht="15" customHeight="1" x14ac:dyDescent="0.25">
      <c r="A378" s="71" t="s">
        <v>142</v>
      </c>
      <c r="B378" s="7">
        <v>0.65</v>
      </c>
      <c r="C378" s="78">
        <f t="shared" si="96"/>
        <v>61.75</v>
      </c>
      <c r="D378" s="8">
        <f t="shared" si="84"/>
        <v>65</v>
      </c>
      <c r="E378" s="8" t="str" cm="1">
        <f t="array" ref="E378">GetColorMatchValue(C378, $C$3:$C$10)</f>
        <v>s</v>
      </c>
      <c r="F378" s="88" t="str">
        <f t="shared" si="95"/>
        <v>&lt;tr&gt;&lt;td&gt;1 Set of 3 P.Sn. + 3 Sn.G.B.N.P.Pr. &lt;/td&gt;&lt;td&gt;65%&lt;/td&gt;&lt;td&gt;${percent(s, 65)}&lt;/td&gt;&lt;/tr&gt;</v>
      </c>
      <c r="K378" s="62"/>
      <c r="L378" s="62"/>
    </row>
    <row r="379" spans="1:12" ht="15" customHeight="1" x14ac:dyDescent="0.25">
      <c r="A379" s="71" t="s">
        <v>143</v>
      </c>
      <c r="B379" s="7">
        <v>0.7</v>
      </c>
      <c r="C379" s="78">
        <f t="shared" si="96"/>
        <v>66.5</v>
      </c>
      <c r="D379" s="8">
        <f t="shared" si="84"/>
        <v>70</v>
      </c>
      <c r="E379" s="8" t="str" cm="1">
        <f t="array" ref="E379">GetColorMatchValue(C379, $C$3:$C$10)</f>
        <v>s</v>
      </c>
      <c r="F379" s="88" t="str">
        <f t="shared" si="95"/>
        <v>&lt;tr&gt;&lt;td&gt;1 Set of 2 P.Sn. + 3 Sn.G.B.N.P.Pr. &lt;/td&gt;&lt;td&gt;70%&lt;/td&gt;&lt;td&gt;${percent(s, 70)}&lt;/td&gt;&lt;/tr&gt;</v>
      </c>
      <c r="K379" s="62"/>
      <c r="L379" s="62"/>
    </row>
    <row r="380" spans="1:12" ht="15" customHeight="1" x14ac:dyDescent="0.25">
      <c r="A380" s="71" t="s">
        <v>142</v>
      </c>
      <c r="B380" s="7">
        <v>0.6</v>
      </c>
      <c r="C380" s="78">
        <f t="shared" si="96"/>
        <v>57</v>
      </c>
      <c r="D380" s="8">
        <f t="shared" si="84"/>
        <v>60</v>
      </c>
      <c r="E380" s="8" t="str" cm="1">
        <f t="array" ref="E380">GetColorMatchValue(C380, $C$3:$C$10)</f>
        <v>s</v>
      </c>
      <c r="F380" s="88" t="str">
        <f t="shared" si="95"/>
        <v>&lt;tr&gt;&lt;td&gt;1 Set of 3 P.Sn. + 3 Sn.G.B.N.P.Pr. &lt;/td&gt;&lt;td&gt;60%&lt;/td&gt;&lt;td&gt;${percent(s, 60)}&lt;/td&gt;&lt;/tr&gt;</v>
      </c>
      <c r="K380" s="62"/>
      <c r="L380" s="62"/>
    </row>
    <row r="381" spans="1:12" ht="15" customHeight="1" x14ac:dyDescent="0.25">
      <c r="A381" s="71" t="s">
        <v>142</v>
      </c>
      <c r="B381" s="7">
        <v>0.65</v>
      </c>
      <c r="C381" s="78">
        <f t="shared" si="96"/>
        <v>61.75</v>
      </c>
      <c r="D381" s="8">
        <f t="shared" si="84"/>
        <v>65</v>
      </c>
      <c r="E381" s="8" t="str" cm="1">
        <f t="array" ref="E381">GetColorMatchValue(C381, $C$3:$C$10)</f>
        <v>s</v>
      </c>
      <c r="F381" s="88" t="str">
        <f t="shared" si="95"/>
        <v>&lt;tr&gt;&lt;td&gt;1 Set of 3 P.Sn. + 3 Sn.G.B.N.P.Pr. &lt;/td&gt;&lt;td&gt;65%&lt;/td&gt;&lt;td&gt;${percent(s, 65)}&lt;/td&gt;&lt;/tr&gt;</v>
      </c>
      <c r="K381" s="62"/>
      <c r="L381" s="62"/>
    </row>
    <row r="382" spans="1:12" ht="15" customHeight="1" x14ac:dyDescent="0.25">
      <c r="A382" s="71" t="s">
        <v>143</v>
      </c>
      <c r="B382" s="7">
        <v>0.7</v>
      </c>
      <c r="C382" s="78">
        <f t="shared" si="96"/>
        <v>66.5</v>
      </c>
      <c r="D382" s="8">
        <f t="shared" si="84"/>
        <v>70</v>
      </c>
      <c r="E382" s="8" t="str" cm="1">
        <f t="array" ref="E382">GetColorMatchValue(C382, $C$3:$C$10)</f>
        <v>s</v>
      </c>
      <c r="F382" s="88" t="str">
        <f t="shared" si="95"/>
        <v>&lt;tr&gt;&lt;td&gt;1 Set of 2 P.Sn. + 3 Sn.G.B.N.P.Pr. &lt;/td&gt;&lt;td&gt;70%&lt;/td&gt;&lt;td&gt;${percent(s, 70)}&lt;/td&gt;&lt;/tr&gt;</v>
      </c>
      <c r="K382" s="62"/>
      <c r="L382" s="62"/>
    </row>
    <row r="383" spans="1:12" ht="15" customHeight="1" x14ac:dyDescent="0.25">
      <c r="A383" s="71"/>
      <c r="B383" s="8"/>
      <c r="C383" s="76"/>
      <c r="D383" s="8" t="str">
        <f t="shared" si="84"/>
        <v/>
      </c>
      <c r="E383" s="8" t="str" cm="1">
        <f t="array" ref="E383">GetColorMatchValue(C383, $C$3:$C$10)</f>
        <v/>
      </c>
      <c r="F383" s="89" t="s">
        <v>193</v>
      </c>
      <c r="K383" s="62"/>
      <c r="L383" s="62"/>
    </row>
    <row r="384" spans="1:12" ht="15" customHeight="1" x14ac:dyDescent="0.25">
      <c r="A384" s="72" t="s">
        <v>20</v>
      </c>
      <c r="B384" s="8"/>
      <c r="C384" s="76"/>
      <c r="D384" s="8" t="str">
        <f t="shared" si="84"/>
        <v/>
      </c>
      <c r="E384" s="8" t="str" cm="1">
        <f t="array" ref="E384">GetColorMatchValue(C384, $C$3:$C$10)</f>
        <v/>
      </c>
      <c r="F384" s="88" t="str">
        <f>"&lt;tr&gt;&lt;th colspan=""3""&gt;"&amp;A384&amp;"&lt;/th&gt;&lt;/tr&gt;"</f>
        <v>&lt;tr&gt;&lt;th colspan="3"&gt;Clean Deadlift&lt;/th&gt;&lt;/tr&gt;</v>
      </c>
      <c r="K384" s="62"/>
      <c r="L384" s="62"/>
    </row>
    <row r="385" spans="1:12" ht="15" customHeight="1" x14ac:dyDescent="0.25">
      <c r="A385" s="71" t="s">
        <v>105</v>
      </c>
      <c r="B385" s="7">
        <v>0.9</v>
      </c>
      <c r="C385" s="80">
        <f t="shared" ref="C385:C389" si="97">$B$6*B385</f>
        <v>99</v>
      </c>
      <c r="D385" s="8">
        <f t="shared" si="84"/>
        <v>90</v>
      </c>
      <c r="E385" s="8" t="str" cm="1">
        <f t="array" ref="E385">GetColorMatchValue(C385, $C$3:$C$10)</f>
        <v>c</v>
      </c>
      <c r="F385" s="88" t="str">
        <f t="shared" ref="F385:F389" si="98">"&lt;tr&gt;&lt;td&gt;"&amp;A385&amp;"&lt;/td&gt;&lt;td&gt;"&amp;D385&amp;"%&lt;/td&gt;&lt;td&gt;${percent("&amp;E385&amp;", "&amp;D385&amp;")}&lt;/td&gt;&lt;/tr&gt;"</f>
        <v>&lt;tr&gt;&lt;td&gt;1 Set of 4 Reps &lt;/td&gt;&lt;td&gt;90%&lt;/td&gt;&lt;td&gt;${percent(c, 90)}&lt;/td&gt;&lt;/tr&gt;</v>
      </c>
      <c r="K385" s="62"/>
      <c r="L385" s="62"/>
    </row>
    <row r="386" spans="1:12" ht="15" customHeight="1" x14ac:dyDescent="0.25">
      <c r="A386" s="71" t="s">
        <v>95</v>
      </c>
      <c r="B386" s="7">
        <v>1</v>
      </c>
      <c r="C386" s="80">
        <f t="shared" si="97"/>
        <v>110</v>
      </c>
      <c r="D386" s="8">
        <f t="shared" si="84"/>
        <v>100</v>
      </c>
      <c r="E386" s="8" t="str" cm="1">
        <f t="array" ref="E386">GetColorMatchValue(C386, $C$3:$C$10)</f>
        <v>c</v>
      </c>
      <c r="F386" s="88" t="str">
        <f t="shared" si="98"/>
        <v>&lt;tr&gt;&lt;td&gt;1 Set of 3 Reps &lt;/td&gt;&lt;td&gt;100%&lt;/td&gt;&lt;td&gt;${percent(c, 100)}&lt;/td&gt;&lt;/tr&gt;</v>
      </c>
      <c r="K386" s="62"/>
      <c r="L386" s="62"/>
    </row>
    <row r="387" spans="1:12" ht="15" customHeight="1" x14ac:dyDescent="0.25">
      <c r="A387" s="71" t="s">
        <v>105</v>
      </c>
      <c r="B387" s="7">
        <v>0.9</v>
      </c>
      <c r="C387" s="80">
        <f t="shared" si="97"/>
        <v>99</v>
      </c>
      <c r="D387" s="8">
        <f t="shared" si="84"/>
        <v>90</v>
      </c>
      <c r="E387" s="8" t="str" cm="1">
        <f t="array" ref="E387">GetColorMatchValue(C387, $C$3:$C$10)</f>
        <v>c</v>
      </c>
      <c r="F387" s="88" t="str">
        <f t="shared" si="98"/>
        <v>&lt;tr&gt;&lt;td&gt;1 Set of 4 Reps &lt;/td&gt;&lt;td&gt;90%&lt;/td&gt;&lt;td&gt;${percent(c, 90)}&lt;/td&gt;&lt;/tr&gt;</v>
      </c>
      <c r="K387" s="62"/>
      <c r="L387" s="62"/>
    </row>
    <row r="388" spans="1:12" ht="15" customHeight="1" x14ac:dyDescent="0.25">
      <c r="A388" s="71" t="s">
        <v>113</v>
      </c>
      <c r="B388" s="7">
        <v>1</v>
      </c>
      <c r="C388" s="80">
        <f t="shared" si="97"/>
        <v>110</v>
      </c>
      <c r="D388" s="8">
        <f t="shared" ref="D388:D448" si="99">IF(ISNUMBER(B388), B388 * 100, "")</f>
        <v>100</v>
      </c>
      <c r="E388" s="8" t="str" cm="1">
        <f t="array" ref="E388">GetColorMatchValue(C388, $C$3:$C$10)</f>
        <v>c</v>
      </c>
      <c r="F388" s="88" t="str">
        <f t="shared" si="98"/>
        <v>&lt;tr&gt;&lt;td&gt;1 Set of 2 Reps &lt;/td&gt;&lt;td&gt;100%&lt;/td&gt;&lt;td&gt;${percent(c, 100)}&lt;/td&gt;&lt;/tr&gt;</v>
      </c>
      <c r="K388" s="62"/>
      <c r="L388" s="62"/>
    </row>
    <row r="389" spans="1:12" ht="15" customHeight="1" x14ac:dyDescent="0.25">
      <c r="A389" s="71" t="s">
        <v>105</v>
      </c>
      <c r="B389" s="7">
        <v>0.9</v>
      </c>
      <c r="C389" s="80">
        <f t="shared" si="97"/>
        <v>99</v>
      </c>
      <c r="D389" s="8">
        <f t="shared" si="99"/>
        <v>90</v>
      </c>
      <c r="E389" s="8" t="str" cm="1">
        <f t="array" ref="E389">GetColorMatchValue(C389, $C$3:$C$10)</f>
        <v>c</v>
      </c>
      <c r="F389" s="88" t="str">
        <f t="shared" si="98"/>
        <v>&lt;tr&gt;&lt;td&gt;1 Set of 4 Reps &lt;/td&gt;&lt;td&gt;90%&lt;/td&gt;&lt;td&gt;${percent(c, 90)}&lt;/td&gt;&lt;/tr&gt;</v>
      </c>
      <c r="K389" s="62"/>
      <c r="L389" s="62"/>
    </row>
    <row r="390" spans="1:12" ht="15" customHeight="1" x14ac:dyDescent="0.25">
      <c r="A390" s="90" t="s">
        <v>18</v>
      </c>
      <c r="B390" s="74" t="s">
        <v>93</v>
      </c>
      <c r="C390" s="75" t="s">
        <v>94</v>
      </c>
      <c r="D390" s="74" t="s">
        <v>192</v>
      </c>
      <c r="E390" s="75" t="s">
        <v>190</v>
      </c>
      <c r="F390" s="91" t="s">
        <v>191</v>
      </c>
      <c r="I390" s="45"/>
      <c r="K390" s="62"/>
      <c r="L390" s="62"/>
    </row>
    <row r="391" spans="1:12" ht="15" customHeight="1" x14ac:dyDescent="0.25">
      <c r="A391" s="72" t="s">
        <v>61</v>
      </c>
      <c r="B391" s="8"/>
      <c r="C391" s="76"/>
      <c r="D391" s="8" t="str">
        <f t="shared" si="99"/>
        <v/>
      </c>
      <c r="E391" s="8" t="str" cm="1">
        <f t="array" ref="E391">GetColorMatchValue(C391, $C$3:$C$10)</f>
        <v/>
      </c>
      <c r="F391" s="88" t="str">
        <f>"&lt;tr&gt;&lt;th colspan=""3""&gt;"&amp;A391&amp;"&lt;/th&gt;&lt;/tr&gt;"</f>
        <v>&lt;tr&gt;&lt;th colspan="3"&gt;Back Squats&lt;/th&gt;&lt;/tr&gt;</v>
      </c>
      <c r="I391" s="45"/>
      <c r="K391" s="62"/>
      <c r="L391" s="62"/>
    </row>
    <row r="392" spans="1:12" ht="15" customHeight="1" x14ac:dyDescent="0.25">
      <c r="A392" s="71" t="s">
        <v>103</v>
      </c>
      <c r="B392" s="7">
        <v>0.6</v>
      </c>
      <c r="C392" s="77">
        <f>$B$3*B392</f>
        <v>120</v>
      </c>
      <c r="D392" s="8">
        <f t="shared" si="99"/>
        <v>60</v>
      </c>
      <c r="E392" s="8" t="str" cm="1">
        <f t="array" ref="E392">GetColorMatchValue(C392, $C$3:$C$10)</f>
        <v>bs</v>
      </c>
      <c r="F392" s="88" t="str">
        <f t="shared" ref="F392:F395" si="100">"&lt;tr&gt;&lt;td&gt;"&amp;A392&amp;"&lt;/td&gt;&lt;td&gt;"&amp;D392&amp;"%&lt;/td&gt;&lt;td&gt;${percent("&amp;E392&amp;", "&amp;D392&amp;")}&lt;/td&gt;&lt;/tr&gt;"</f>
        <v>&lt;tr&gt;&lt;td&gt;1 Set of 5 Reps &lt;/td&gt;&lt;td&gt;60%&lt;/td&gt;&lt;td&gt;${percent(bs, 60)}&lt;/td&gt;&lt;/tr&gt;</v>
      </c>
      <c r="I392" s="45"/>
      <c r="K392" s="62"/>
      <c r="L392" s="62"/>
    </row>
    <row r="393" spans="1:12" ht="15" customHeight="1" x14ac:dyDescent="0.25">
      <c r="A393" s="71" t="s">
        <v>103</v>
      </c>
      <c r="B393" s="7">
        <v>0.7</v>
      </c>
      <c r="C393" s="77">
        <f>$B$3*B393</f>
        <v>140</v>
      </c>
      <c r="D393" s="8">
        <f t="shared" si="99"/>
        <v>70</v>
      </c>
      <c r="E393" s="8" t="str" cm="1">
        <f t="array" ref="E393">GetColorMatchValue(C393, $C$3:$C$10)</f>
        <v>bs</v>
      </c>
      <c r="F393" s="88" t="str">
        <f t="shared" si="100"/>
        <v>&lt;tr&gt;&lt;td&gt;1 Set of 5 Reps &lt;/td&gt;&lt;td&gt;70%&lt;/td&gt;&lt;td&gt;${percent(bs, 70)}&lt;/td&gt;&lt;/tr&gt;</v>
      </c>
      <c r="I393" s="45"/>
      <c r="K393" s="62"/>
      <c r="L393" s="62"/>
    </row>
    <row r="394" spans="1:12" ht="15" customHeight="1" x14ac:dyDescent="0.25">
      <c r="A394" s="71" t="s">
        <v>105</v>
      </c>
      <c r="B394" s="7">
        <v>0.8</v>
      </c>
      <c r="C394" s="77">
        <f>$B$3*B394</f>
        <v>160</v>
      </c>
      <c r="D394" s="8">
        <f t="shared" si="99"/>
        <v>80</v>
      </c>
      <c r="E394" s="8" t="str" cm="1">
        <f t="array" ref="E394">GetColorMatchValue(C394, $C$3:$C$10)</f>
        <v>bs</v>
      </c>
      <c r="F394" s="88" t="str">
        <f t="shared" si="100"/>
        <v>&lt;tr&gt;&lt;td&gt;1 Set of 4 Reps &lt;/td&gt;&lt;td&gt;80%&lt;/td&gt;&lt;td&gt;${percent(bs, 80)}&lt;/td&gt;&lt;/tr&gt;</v>
      </c>
      <c r="I394" s="45"/>
      <c r="K394" s="62"/>
      <c r="L394" s="62"/>
    </row>
    <row r="395" spans="1:12" ht="15" customHeight="1" x14ac:dyDescent="0.25">
      <c r="A395" s="71" t="s">
        <v>105</v>
      </c>
      <c r="B395" s="7">
        <v>0.85</v>
      </c>
      <c r="C395" s="77">
        <f t="shared" ref="C395" si="101">$B$3*B395</f>
        <v>170</v>
      </c>
      <c r="D395" s="8">
        <f t="shared" si="99"/>
        <v>85</v>
      </c>
      <c r="E395" s="8" t="str" cm="1">
        <f t="array" ref="E395">GetColorMatchValue(C395, $C$3:$C$10)</f>
        <v>bs</v>
      </c>
      <c r="F395" s="88" t="str">
        <f t="shared" si="100"/>
        <v>&lt;tr&gt;&lt;td&gt;1 Set of 4 Reps &lt;/td&gt;&lt;td&gt;85%&lt;/td&gt;&lt;td&gt;${percent(bs, 85)}&lt;/td&gt;&lt;/tr&gt;</v>
      </c>
      <c r="I395" s="45"/>
      <c r="K395" s="62"/>
      <c r="L395" s="62"/>
    </row>
    <row r="396" spans="1:12" ht="15" customHeight="1" x14ac:dyDescent="0.25">
      <c r="A396" s="71"/>
      <c r="B396" s="8"/>
      <c r="C396" s="76"/>
      <c r="D396" s="8" t="str">
        <f t="shared" si="99"/>
        <v/>
      </c>
      <c r="E396" s="8" t="str" cm="1">
        <f t="array" ref="E396">GetColorMatchValue(C396, $C$3:$C$10)</f>
        <v/>
      </c>
      <c r="F396" s="89" t="s">
        <v>193</v>
      </c>
      <c r="I396" s="45"/>
      <c r="K396" s="62"/>
      <c r="L396" s="62"/>
    </row>
    <row r="397" spans="1:12" ht="15" customHeight="1" x14ac:dyDescent="0.25">
      <c r="A397" s="72" t="s">
        <v>42</v>
      </c>
      <c r="B397" s="8"/>
      <c r="C397" s="76"/>
      <c r="D397" s="8" t="str">
        <f t="shared" si="99"/>
        <v/>
      </c>
      <c r="E397" s="8" t="str" cm="1">
        <f t="array" ref="E397">GetColorMatchValue(C397, $C$3:$C$10)</f>
        <v/>
      </c>
      <c r="F397" s="88" t="str">
        <f>"&lt;tr&gt;&lt;th colspan=""3""&gt;"&amp;A397&amp;"&lt;/th&gt;&lt;/tr&gt;"</f>
        <v>&lt;tr&gt;&lt;th colspan="3"&gt;Snatch&lt;/th&gt;&lt;/tr&gt;</v>
      </c>
      <c r="I397" s="45"/>
      <c r="K397" s="62"/>
      <c r="L397" s="62"/>
    </row>
    <row r="398" spans="1:12" ht="15" customHeight="1" x14ac:dyDescent="0.25">
      <c r="A398" s="71" t="s">
        <v>113</v>
      </c>
      <c r="B398" s="7">
        <v>0.6</v>
      </c>
      <c r="C398" s="78">
        <f t="shared" ref="C398:C402" si="102">$B$7*B398</f>
        <v>57</v>
      </c>
      <c r="D398" s="8">
        <f t="shared" si="99"/>
        <v>60</v>
      </c>
      <c r="E398" s="8" t="str" cm="1">
        <f t="array" ref="E398">GetColorMatchValue(C398, $C$3:$C$10)</f>
        <v>s</v>
      </c>
      <c r="F398" s="88" t="str">
        <f t="shared" ref="F398:F402" si="103">"&lt;tr&gt;&lt;td&gt;"&amp;A398&amp;"&lt;/td&gt;&lt;td&gt;"&amp;D398&amp;"%&lt;/td&gt;&lt;td&gt;${percent("&amp;E398&amp;", "&amp;D398&amp;")}&lt;/td&gt;&lt;/tr&gt;"</f>
        <v>&lt;tr&gt;&lt;td&gt;1 Set of 2 Reps &lt;/td&gt;&lt;td&gt;60%&lt;/td&gt;&lt;td&gt;${percent(s, 60)}&lt;/td&gt;&lt;/tr&gt;</v>
      </c>
      <c r="I398" s="45"/>
      <c r="K398" s="62"/>
      <c r="L398" s="62"/>
    </row>
    <row r="399" spans="1:12" ht="15" customHeight="1" x14ac:dyDescent="0.25">
      <c r="A399" s="71" t="s">
        <v>113</v>
      </c>
      <c r="B399" s="7">
        <v>0.7</v>
      </c>
      <c r="C399" s="78">
        <f t="shared" si="102"/>
        <v>66.5</v>
      </c>
      <c r="D399" s="8">
        <f t="shared" si="99"/>
        <v>70</v>
      </c>
      <c r="E399" s="8" t="str" cm="1">
        <f t="array" ref="E399">GetColorMatchValue(C399, $C$3:$C$10)</f>
        <v>s</v>
      </c>
      <c r="F399" s="88" t="str">
        <f t="shared" si="103"/>
        <v>&lt;tr&gt;&lt;td&gt;1 Set of 2 Reps &lt;/td&gt;&lt;td&gt;70%&lt;/td&gt;&lt;td&gt;${percent(s, 70)}&lt;/td&gt;&lt;/tr&gt;</v>
      </c>
      <c r="I399" s="45"/>
      <c r="K399" s="62"/>
      <c r="L399" s="62"/>
    </row>
    <row r="400" spans="1:12" ht="15" customHeight="1" x14ac:dyDescent="0.25">
      <c r="A400" s="71" t="s">
        <v>113</v>
      </c>
      <c r="B400" s="7">
        <v>0.8</v>
      </c>
      <c r="C400" s="78">
        <f t="shared" si="102"/>
        <v>76</v>
      </c>
      <c r="D400" s="8">
        <f t="shared" si="99"/>
        <v>80</v>
      </c>
      <c r="E400" s="8" t="str" cm="1">
        <f t="array" ref="E400">GetColorMatchValue(C400, $C$3:$C$10)</f>
        <v>s</v>
      </c>
      <c r="F400" s="88" t="str">
        <f t="shared" si="103"/>
        <v>&lt;tr&gt;&lt;td&gt;1 Set of 2 Reps &lt;/td&gt;&lt;td&gt;80%&lt;/td&gt;&lt;td&gt;${percent(s, 80)}&lt;/td&gt;&lt;/tr&gt;</v>
      </c>
      <c r="I400" s="45"/>
      <c r="K400" s="62"/>
      <c r="L400" s="62"/>
    </row>
    <row r="401" spans="1:12" ht="15" customHeight="1" x14ac:dyDescent="0.25">
      <c r="A401" s="71" t="s">
        <v>98</v>
      </c>
      <c r="B401" s="7">
        <v>0.85</v>
      </c>
      <c r="C401" s="78">
        <f t="shared" si="102"/>
        <v>80.75</v>
      </c>
      <c r="D401" s="8">
        <f t="shared" si="99"/>
        <v>85</v>
      </c>
      <c r="E401" s="8" t="str" cm="1">
        <f t="array" ref="E401">GetColorMatchValue(C401, $C$3:$C$10)</f>
        <v>s</v>
      </c>
      <c r="F401" s="88" t="str">
        <f t="shared" si="103"/>
        <v>&lt;tr&gt;&lt;td&gt;1 Set of 1 Rep &lt;/td&gt;&lt;td&gt;85%&lt;/td&gt;&lt;td&gt;${percent(s, 85)}&lt;/td&gt;&lt;/tr&gt;</v>
      </c>
      <c r="I401" s="45"/>
      <c r="K401" s="62"/>
      <c r="L401" s="62"/>
    </row>
    <row r="402" spans="1:12" ht="15" customHeight="1" x14ac:dyDescent="0.25">
      <c r="A402" s="71" t="s">
        <v>98</v>
      </c>
      <c r="B402" s="7">
        <v>0.9</v>
      </c>
      <c r="C402" s="78">
        <f t="shared" si="102"/>
        <v>85.5</v>
      </c>
      <c r="D402" s="8">
        <f t="shared" si="99"/>
        <v>90</v>
      </c>
      <c r="E402" s="8" t="str" cm="1">
        <f t="array" ref="E402">GetColorMatchValue(C402, $C$3:$C$10)</f>
        <v>s</v>
      </c>
      <c r="F402" s="88" t="str">
        <f t="shared" si="103"/>
        <v>&lt;tr&gt;&lt;td&gt;1 Set of 1 Rep &lt;/td&gt;&lt;td&gt;90%&lt;/td&gt;&lt;td&gt;${percent(s, 90)}&lt;/td&gt;&lt;/tr&gt;</v>
      </c>
      <c r="I402" s="45"/>
      <c r="K402" s="62"/>
      <c r="L402" s="62"/>
    </row>
    <row r="403" spans="1:12" ht="15" customHeight="1" x14ac:dyDescent="0.25">
      <c r="A403" s="71"/>
      <c r="B403" s="8"/>
      <c r="C403" s="76"/>
      <c r="D403" s="8" t="str">
        <f t="shared" si="99"/>
        <v/>
      </c>
      <c r="E403" s="8" t="str" cm="1">
        <f t="array" ref="E403">GetColorMatchValue(C403, $C$3:$C$10)</f>
        <v/>
      </c>
      <c r="F403" s="89" t="s">
        <v>193</v>
      </c>
      <c r="I403" s="45"/>
      <c r="K403" s="62"/>
      <c r="L403" s="62"/>
    </row>
    <row r="404" spans="1:12" ht="15" customHeight="1" x14ac:dyDescent="0.25">
      <c r="A404" s="72" t="s">
        <v>43</v>
      </c>
      <c r="B404" s="8"/>
      <c r="C404" s="76"/>
      <c r="D404" s="8" t="str">
        <f t="shared" si="99"/>
        <v/>
      </c>
      <c r="E404" s="8" t="str" cm="1">
        <f t="array" ref="E404">GetColorMatchValue(C404, $C$3:$C$10)</f>
        <v/>
      </c>
      <c r="F404" s="88" t="str">
        <f>"&lt;tr&gt;&lt;th colspan=""3""&gt;"&amp;A404&amp;"&lt;/th&gt;&lt;/tr&gt;"</f>
        <v>&lt;tr&gt;&lt;th colspan="3"&gt;Clean + Jerk&lt;/th&gt;&lt;/tr&gt;</v>
      </c>
      <c r="I404" s="45"/>
      <c r="K404" s="62"/>
      <c r="L404" s="62"/>
    </row>
    <row r="405" spans="1:12" ht="15" customHeight="1" x14ac:dyDescent="0.25">
      <c r="A405" s="71" t="s">
        <v>144</v>
      </c>
      <c r="B405" s="7">
        <v>0.6</v>
      </c>
      <c r="C405" s="82">
        <f t="shared" ref="C405:C409" si="104">$B$8*B405</f>
        <v>69</v>
      </c>
      <c r="D405" s="8">
        <f t="shared" si="99"/>
        <v>60</v>
      </c>
      <c r="E405" s="8" t="str" cm="1">
        <f t="array" ref="E405">GetColorMatchValue(C405, $C$3:$C$10)</f>
        <v>cj</v>
      </c>
      <c r="F405" s="88" t="str">
        <f t="shared" ref="F405:F409" si="105">"&lt;tr&gt;&lt;td&gt;"&amp;A405&amp;"&lt;/td&gt;&lt;td&gt;"&amp;D405&amp;"%&lt;/td&gt;&lt;td&gt;${percent("&amp;E405&amp;", "&amp;D405&amp;")}&lt;/td&gt;&lt;/tr&gt;"</f>
        <v>&lt;tr&gt;&lt;td&gt;1 Set of 2 Cl. + 1 Jr. &lt;/td&gt;&lt;td&gt;60%&lt;/td&gt;&lt;td&gt;${percent(cj, 60)}&lt;/td&gt;&lt;/tr&gt;</v>
      </c>
      <c r="I405" s="45"/>
      <c r="K405" s="62"/>
      <c r="L405" s="62"/>
    </row>
    <row r="406" spans="1:12" ht="15" customHeight="1" x14ac:dyDescent="0.25">
      <c r="A406" s="71" t="s">
        <v>144</v>
      </c>
      <c r="B406" s="7">
        <v>0.7</v>
      </c>
      <c r="C406" s="82">
        <f t="shared" si="104"/>
        <v>80.5</v>
      </c>
      <c r="D406" s="8">
        <f t="shared" si="99"/>
        <v>70</v>
      </c>
      <c r="E406" s="8" t="str" cm="1">
        <f t="array" ref="E406">GetColorMatchValue(C406, $C$3:$C$10)</f>
        <v>cj</v>
      </c>
      <c r="F406" s="88" t="str">
        <f t="shared" si="105"/>
        <v>&lt;tr&gt;&lt;td&gt;1 Set of 2 Cl. + 1 Jr. &lt;/td&gt;&lt;td&gt;70%&lt;/td&gt;&lt;td&gt;${percent(cj, 70)}&lt;/td&gt;&lt;/tr&gt;</v>
      </c>
      <c r="I406" s="45"/>
      <c r="K406" s="62"/>
      <c r="L406" s="62"/>
    </row>
    <row r="407" spans="1:12" ht="15" customHeight="1" x14ac:dyDescent="0.25">
      <c r="A407" s="71" t="s">
        <v>144</v>
      </c>
      <c r="B407" s="7">
        <v>0.8</v>
      </c>
      <c r="C407" s="82">
        <f t="shared" si="104"/>
        <v>92</v>
      </c>
      <c r="D407" s="8">
        <f t="shared" si="99"/>
        <v>80</v>
      </c>
      <c r="E407" s="8" t="str" cm="1">
        <f t="array" ref="E407">GetColorMatchValue(C407, $C$3:$C$10)</f>
        <v>cj</v>
      </c>
      <c r="F407" s="88" t="str">
        <f t="shared" si="105"/>
        <v>&lt;tr&gt;&lt;td&gt;1 Set of 2 Cl. + 1 Jr. &lt;/td&gt;&lt;td&gt;80%&lt;/td&gt;&lt;td&gt;${percent(cj, 80)}&lt;/td&gt;&lt;/tr&gt;</v>
      </c>
      <c r="I407" s="45"/>
      <c r="K407" s="62"/>
      <c r="L407" s="62"/>
    </row>
    <row r="408" spans="1:12" ht="15" customHeight="1" x14ac:dyDescent="0.25">
      <c r="A408" s="71" t="s">
        <v>117</v>
      </c>
      <c r="B408" s="7">
        <v>0.85</v>
      </c>
      <c r="C408" s="82">
        <f t="shared" si="104"/>
        <v>97.75</v>
      </c>
      <c r="D408" s="8">
        <f t="shared" si="99"/>
        <v>85</v>
      </c>
      <c r="E408" s="8" t="str" cm="1">
        <f t="array" ref="E408">GetColorMatchValue(C408, $C$3:$C$10)</f>
        <v>cj</v>
      </c>
      <c r="F408" s="88" t="str">
        <f t="shared" si="105"/>
        <v>&lt;tr&gt;&lt;td&gt;1 Set of 1 Cl. + 1 Jr. &lt;/td&gt;&lt;td&gt;85%&lt;/td&gt;&lt;td&gt;${percent(cj, 85)}&lt;/td&gt;&lt;/tr&gt;</v>
      </c>
      <c r="I408" s="45"/>
      <c r="K408" s="62"/>
      <c r="L408" s="62"/>
    </row>
    <row r="409" spans="1:12" ht="15" customHeight="1" x14ac:dyDescent="0.25">
      <c r="A409" s="71" t="s">
        <v>117</v>
      </c>
      <c r="B409" s="7">
        <v>0.9</v>
      </c>
      <c r="C409" s="82">
        <f t="shared" si="104"/>
        <v>103.5</v>
      </c>
      <c r="D409" s="8">
        <f t="shared" si="99"/>
        <v>90</v>
      </c>
      <c r="E409" s="8" t="str" cm="1">
        <f t="array" ref="E409">GetColorMatchValue(C409, $C$3:$C$10)</f>
        <v>cj</v>
      </c>
      <c r="F409" s="88" t="str">
        <f t="shared" si="105"/>
        <v>&lt;tr&gt;&lt;td&gt;1 Set of 1 Cl. + 1 Jr. &lt;/td&gt;&lt;td&gt;90%&lt;/td&gt;&lt;td&gt;${percent(cj, 90)}&lt;/td&gt;&lt;/tr&gt;</v>
      </c>
      <c r="I409" s="45"/>
      <c r="K409" s="62"/>
      <c r="L409" s="62"/>
    </row>
    <row r="410" spans="1:12" ht="15" customHeight="1" x14ac:dyDescent="0.25">
      <c r="A410" s="71"/>
      <c r="B410" s="8"/>
      <c r="C410" s="76"/>
      <c r="D410" s="8" t="str">
        <f t="shared" si="99"/>
        <v/>
      </c>
      <c r="E410" s="8" t="str" cm="1">
        <f t="array" ref="E410">GetColorMatchValue(C410, $C$3:$C$10)</f>
        <v/>
      </c>
      <c r="F410" s="89" t="s">
        <v>193</v>
      </c>
      <c r="I410" s="45"/>
      <c r="K410" s="62"/>
      <c r="L410" s="62"/>
    </row>
    <row r="411" spans="1:12" ht="15" customHeight="1" x14ac:dyDescent="0.25">
      <c r="A411" s="72" t="s">
        <v>83</v>
      </c>
      <c r="B411" s="8"/>
      <c r="C411" s="76"/>
      <c r="D411" s="8" t="str">
        <f t="shared" si="99"/>
        <v/>
      </c>
      <c r="E411" s="8" t="str" cm="1">
        <f t="array" ref="E411">GetColorMatchValue(C411, $C$3:$C$10)</f>
        <v/>
      </c>
      <c r="F411" s="88" t="str">
        <f>"&lt;tr&gt;&lt;th colspan=""3""&gt;"&amp;A411&amp;"&lt;/th&gt;&lt;/tr&gt;"</f>
        <v>&lt;tr&gt;&lt;th colspan="3"&gt;Snatch Pulls &lt;/th&gt;&lt;/tr&gt;</v>
      </c>
      <c r="I411" s="45"/>
      <c r="K411" s="62"/>
      <c r="L411" s="62"/>
    </row>
    <row r="412" spans="1:12" ht="15" customHeight="1" x14ac:dyDescent="0.25">
      <c r="A412" s="71" t="s">
        <v>118</v>
      </c>
      <c r="B412" s="7">
        <v>1</v>
      </c>
      <c r="C412" s="78">
        <f>$B$7*B412</f>
        <v>95</v>
      </c>
      <c r="D412" s="8">
        <f t="shared" si="99"/>
        <v>100</v>
      </c>
      <c r="E412" s="8" t="str" cm="1">
        <f t="array" ref="E412">GetColorMatchValue(C412, $C$3:$C$10)</f>
        <v>s</v>
      </c>
      <c r="F412" s="88" t="str">
        <f t="shared" ref="F412" si="106">"&lt;tr&gt;&lt;td&gt;"&amp;A412&amp;"&lt;/td&gt;&lt;td&gt;"&amp;D412&amp;"%&lt;/td&gt;&lt;td&gt;${percent("&amp;E412&amp;", "&amp;D412&amp;")}&lt;/td&gt;&lt;/tr&gt;"</f>
        <v>&lt;tr&gt;&lt;td&gt;5 Sets of 4 Reps &lt;/td&gt;&lt;td&gt;100%&lt;/td&gt;&lt;td&gt;${percent(s, 100)}&lt;/td&gt;&lt;/tr&gt;</v>
      </c>
      <c r="I412" s="45"/>
      <c r="K412" s="62"/>
      <c r="L412" s="62"/>
    </row>
    <row r="413" spans="1:12" ht="15" customHeight="1" x14ac:dyDescent="0.25">
      <c r="A413" s="71"/>
      <c r="B413" s="8"/>
      <c r="C413" s="76"/>
      <c r="D413" s="8" t="str">
        <f t="shared" si="99"/>
        <v/>
      </c>
      <c r="E413" s="8" t="str" cm="1">
        <f t="array" ref="E413">GetColorMatchValue(C413, $C$3:$C$10)</f>
        <v/>
      </c>
      <c r="F413" s="89" t="s">
        <v>193</v>
      </c>
      <c r="I413" s="45"/>
      <c r="K413" s="62"/>
      <c r="L413" s="62"/>
    </row>
    <row r="414" spans="1:12" ht="15" customHeight="1" x14ac:dyDescent="0.25">
      <c r="A414" s="72" t="s">
        <v>47</v>
      </c>
      <c r="B414" s="8"/>
      <c r="C414" s="76"/>
      <c r="D414" s="8" t="str">
        <f t="shared" si="99"/>
        <v/>
      </c>
      <c r="E414" s="8" t="str" cm="1">
        <f t="array" ref="E414">GetColorMatchValue(C414, $C$3:$C$10)</f>
        <v/>
      </c>
      <c r="F414" s="88" t="str">
        <f>"&lt;tr&gt;&lt;th colspan=""3""&gt;"&amp;A414&amp;"&lt;/th&gt;&lt;/tr&gt;"</f>
        <v>&lt;tr&gt;&lt;th colspan="3"&gt;Press&lt;/th&gt;&lt;/tr&gt;</v>
      </c>
      <c r="I414" s="45"/>
      <c r="K414" s="62"/>
      <c r="L414" s="62"/>
    </row>
    <row r="415" spans="1:12" ht="15" customHeight="1" x14ac:dyDescent="0.25">
      <c r="A415" s="71" t="s">
        <v>203</v>
      </c>
      <c r="B415" s="71" t="s">
        <v>198</v>
      </c>
      <c r="C415" s="76"/>
      <c r="D415" s="8" t="str">
        <f t="shared" si="99"/>
        <v/>
      </c>
      <c r="E415" s="8" t="str" cm="1">
        <f t="array" ref="E415">GetColorMatchValue(C415, $C$3:$C$10)</f>
        <v/>
      </c>
      <c r="F415" s="88" t="str">
        <f>"&lt;tr&gt;&lt;td colspan=""3""&gt;"&amp;A415&amp;" "&amp;B415&amp;"&lt;/td&gt;&lt;/tr&gt;"</f>
        <v>&lt;tr&gt;&lt;td colspan="3"&gt;4 Sets of 4 Reps Work up to weight where you can maintain proper form.&lt;/td&gt;&lt;/tr&gt;</v>
      </c>
      <c r="I415" s="45"/>
      <c r="K415" s="62"/>
      <c r="L415" s="62"/>
    </row>
    <row r="416" spans="1:12" ht="15" customHeight="1" x14ac:dyDescent="0.25">
      <c r="A416" s="71"/>
      <c r="B416" s="8"/>
      <c r="C416" s="76"/>
      <c r="D416" s="8" t="str">
        <f t="shared" si="99"/>
        <v/>
      </c>
      <c r="E416" s="8" t="str" cm="1">
        <f t="array" ref="E416">GetColorMatchValue(C416, $C$3:$C$10)</f>
        <v/>
      </c>
      <c r="F416" s="89" t="s">
        <v>193</v>
      </c>
      <c r="I416" s="45"/>
      <c r="K416" s="62"/>
      <c r="L416" s="62"/>
    </row>
    <row r="417" spans="1:12" ht="15" customHeight="1" x14ac:dyDescent="0.25">
      <c r="A417" s="72" t="s">
        <v>58</v>
      </c>
      <c r="B417" s="8"/>
      <c r="C417" s="76"/>
      <c r="D417" s="8" t="str">
        <f t="shared" si="99"/>
        <v/>
      </c>
      <c r="E417" s="8" t="str" cm="1">
        <f t="array" ref="E417">GetColorMatchValue(C417, $C$3:$C$10)</f>
        <v/>
      </c>
      <c r="F417" s="88" t="str">
        <f>"&lt;tr&gt;&lt;th colspan=""3""&gt;"&amp;A417&amp;"&lt;/th&gt;&lt;/tr&gt;"</f>
        <v>&lt;tr&gt;&lt;th colspan="3"&gt;Good Mornings&lt;/th&gt;&lt;/tr&gt;</v>
      </c>
      <c r="I417" s="45"/>
      <c r="K417" s="62"/>
      <c r="L417" s="62"/>
    </row>
    <row r="418" spans="1:12" ht="15" customHeight="1" x14ac:dyDescent="0.25">
      <c r="A418" s="71" t="s">
        <v>204</v>
      </c>
      <c r="B418" s="71" t="s">
        <v>198</v>
      </c>
      <c r="C418" s="76"/>
      <c r="D418" s="8" t="str">
        <f t="shared" si="99"/>
        <v/>
      </c>
      <c r="E418" s="8" t="str" cm="1">
        <f t="array" ref="E418">GetColorMatchValue(C418, $C$3:$C$10)</f>
        <v/>
      </c>
      <c r="F418" s="88" t="str">
        <f>"&lt;tr&gt;&lt;td colspan=""3""&gt;"&amp;A418&amp;" "&amp;B418&amp;"&lt;/td&gt;&lt;/tr&gt;"</f>
        <v>&lt;tr&gt;&lt;td colspan="3"&gt;4 Sets of 5 Reps Work up to weight where you can maintain proper form.&lt;/td&gt;&lt;/tr&gt;</v>
      </c>
      <c r="I418" s="45"/>
      <c r="K418" s="62"/>
      <c r="L418" s="62"/>
    </row>
    <row r="419" spans="1:12" ht="15" customHeight="1" x14ac:dyDescent="0.25">
      <c r="A419" s="71"/>
      <c r="B419" s="8"/>
      <c r="C419" s="76"/>
      <c r="D419" s="8" t="str">
        <f t="shared" si="99"/>
        <v/>
      </c>
      <c r="E419" s="8" t="str" cm="1">
        <f t="array" ref="E419">GetColorMatchValue(C419, $C$3:$C$10)</f>
        <v/>
      </c>
      <c r="F419" s="89" t="s">
        <v>193</v>
      </c>
      <c r="I419" s="45"/>
      <c r="K419" s="62"/>
      <c r="L419" s="62"/>
    </row>
    <row r="420" spans="1:12" ht="15" customHeight="1" x14ac:dyDescent="0.25">
      <c r="A420" s="72" t="s">
        <v>27</v>
      </c>
      <c r="B420" s="8"/>
      <c r="C420" s="76"/>
      <c r="D420" s="8" t="str">
        <f t="shared" si="99"/>
        <v/>
      </c>
      <c r="E420" s="8" t="str" cm="1">
        <f t="array" ref="E420">GetColorMatchValue(C420, $C$3:$C$10)</f>
        <v/>
      </c>
      <c r="F420" s="88" t="str">
        <f>"&lt;tr&gt;&lt;th colspan=""3""&gt;"&amp;A420&amp;"&lt;/th&gt;&lt;/tr&gt;"</f>
        <v>&lt;tr&gt;&lt;th colspan="3"&gt;Abdominals&lt;/th&gt;&lt;/tr&gt;</v>
      </c>
      <c r="I420" s="45"/>
      <c r="K420" s="62"/>
      <c r="L420" s="62"/>
    </row>
    <row r="421" spans="1:12" ht="15" customHeight="1" x14ac:dyDescent="0.25">
      <c r="A421" s="71" t="s">
        <v>200</v>
      </c>
      <c r="B421" s="8" t="s">
        <v>195</v>
      </c>
      <c r="C421" s="76"/>
      <c r="D421" s="8" t="str">
        <f t="shared" si="99"/>
        <v/>
      </c>
      <c r="E421" s="8" t="str" cm="1">
        <f t="array" ref="E421">GetColorMatchValue(C421, $C$3:$C$10)</f>
        <v/>
      </c>
      <c r="F421" s="88" t="str">
        <f>"&lt;tr&gt;&lt;td colspan=""3""&gt;"&amp;A421&amp;" "&amp;B421&amp;"&lt;/td&gt;&lt;/tr&gt;"</f>
        <v>&lt;tr&gt;&lt;td colspan="3"&gt;3 Sets of 30 Reps Athlete's choice on exercise selection.&lt;/td&gt;&lt;/tr&gt;</v>
      </c>
      <c r="I421" s="45"/>
      <c r="K421" s="62"/>
      <c r="L421" s="62"/>
    </row>
    <row r="422" spans="1:12" ht="15" customHeight="1" x14ac:dyDescent="0.25">
      <c r="A422" s="90" t="s">
        <v>19</v>
      </c>
      <c r="B422" s="74" t="s">
        <v>93</v>
      </c>
      <c r="C422" s="75" t="s">
        <v>94</v>
      </c>
      <c r="D422" s="74" t="s">
        <v>192</v>
      </c>
      <c r="E422" s="75" t="s">
        <v>190</v>
      </c>
      <c r="F422" s="91" t="s">
        <v>191</v>
      </c>
      <c r="H422" s="62"/>
      <c r="I422" s="62"/>
      <c r="K422" s="62"/>
      <c r="L422" s="62"/>
    </row>
    <row r="423" spans="1:12" ht="15" customHeight="1" x14ac:dyDescent="0.25">
      <c r="A423" s="72" t="s">
        <v>0</v>
      </c>
      <c r="B423" s="8"/>
      <c r="C423" s="76"/>
      <c r="D423" s="8" t="str">
        <f t="shared" si="99"/>
        <v/>
      </c>
      <c r="E423" s="8" t="str" cm="1">
        <f t="array" ref="E423">GetColorMatchValue(C423, $C$3:$C$10)</f>
        <v/>
      </c>
      <c r="F423" s="88" t="str">
        <f>"&lt;tr&gt;&lt;th colspan=""3""&gt;"&amp;A423&amp;"&lt;/th&gt;&lt;/tr&gt;"</f>
        <v>&lt;tr&gt;&lt;th colspan="3"&gt;Back Squat&lt;/th&gt;&lt;/tr&gt;</v>
      </c>
      <c r="H423" s="62"/>
      <c r="I423" s="62"/>
      <c r="K423" s="62"/>
      <c r="L423" s="62"/>
    </row>
    <row r="424" spans="1:12" ht="15" customHeight="1" x14ac:dyDescent="0.25">
      <c r="A424" s="71" t="s">
        <v>105</v>
      </c>
      <c r="B424" s="7">
        <v>0.6</v>
      </c>
      <c r="C424" s="77">
        <f>$B$3*B424</f>
        <v>120</v>
      </c>
      <c r="D424" s="8">
        <f t="shared" si="99"/>
        <v>60</v>
      </c>
      <c r="E424" s="8" t="str" cm="1">
        <f t="array" ref="E424">GetColorMatchValue(C424, $C$3:$C$10)</f>
        <v>bs</v>
      </c>
      <c r="F424" s="88" t="str">
        <f t="shared" ref="F424:F427" si="107">"&lt;tr&gt;&lt;td&gt;"&amp;A424&amp;"&lt;/td&gt;&lt;td&gt;"&amp;D424&amp;"%&lt;/td&gt;&lt;td&gt;${percent("&amp;E424&amp;", "&amp;D424&amp;")}&lt;/td&gt;&lt;/tr&gt;"</f>
        <v>&lt;tr&gt;&lt;td&gt;1 Set of 4 Reps &lt;/td&gt;&lt;td&gt;60%&lt;/td&gt;&lt;td&gt;${percent(bs, 60)}&lt;/td&gt;&lt;/tr&gt;</v>
      </c>
      <c r="H424" s="62"/>
      <c r="I424" s="62"/>
      <c r="K424" s="62"/>
      <c r="L424" s="62"/>
    </row>
    <row r="425" spans="1:12" ht="15" customHeight="1" x14ac:dyDescent="0.25">
      <c r="A425" s="71" t="s">
        <v>105</v>
      </c>
      <c r="B425" s="7">
        <v>0.7</v>
      </c>
      <c r="C425" s="77">
        <f>$B$3*B425</f>
        <v>140</v>
      </c>
      <c r="D425" s="8">
        <f t="shared" si="99"/>
        <v>70</v>
      </c>
      <c r="E425" s="8" t="str" cm="1">
        <f t="array" ref="E425">GetColorMatchValue(C425, $C$3:$C$10)</f>
        <v>bs</v>
      </c>
      <c r="F425" s="88" t="str">
        <f t="shared" si="107"/>
        <v>&lt;tr&gt;&lt;td&gt;1 Set of 4 Reps &lt;/td&gt;&lt;td&gt;70%&lt;/td&gt;&lt;td&gt;${percent(bs, 70)}&lt;/td&gt;&lt;/tr&gt;</v>
      </c>
      <c r="H425" s="62"/>
      <c r="I425" s="62"/>
      <c r="K425" s="62"/>
      <c r="L425" s="62"/>
    </row>
    <row r="426" spans="1:12" ht="15" customHeight="1" x14ac:dyDescent="0.25">
      <c r="A426" s="71" t="s">
        <v>105</v>
      </c>
      <c r="B426" s="7">
        <v>0.8</v>
      </c>
      <c r="C426" s="77">
        <f>$B$3*B426</f>
        <v>160</v>
      </c>
      <c r="D426" s="8">
        <f t="shared" si="99"/>
        <v>80</v>
      </c>
      <c r="E426" s="8" t="str" cm="1">
        <f t="array" ref="E426">GetColorMatchValue(C426, $C$3:$C$10)</f>
        <v>bs</v>
      </c>
      <c r="F426" s="88" t="str">
        <f t="shared" si="107"/>
        <v>&lt;tr&gt;&lt;td&gt;1 Set of 4 Reps &lt;/td&gt;&lt;td&gt;80%&lt;/td&gt;&lt;td&gt;${percent(bs, 80)}&lt;/td&gt;&lt;/tr&gt;</v>
      </c>
      <c r="H426" s="62"/>
      <c r="I426" s="62"/>
      <c r="K426" s="62"/>
      <c r="L426" s="62"/>
    </row>
    <row r="427" spans="1:12" ht="15" customHeight="1" x14ac:dyDescent="0.25">
      <c r="A427" s="71" t="s">
        <v>104</v>
      </c>
      <c r="B427" s="7">
        <v>0.85</v>
      </c>
      <c r="C427" s="77">
        <f t="shared" ref="C427" si="108">$B$3*B427</f>
        <v>170</v>
      </c>
      <c r="D427" s="8">
        <f t="shared" si="99"/>
        <v>85</v>
      </c>
      <c r="E427" s="8" t="str" cm="1">
        <f t="array" ref="E427">GetColorMatchValue(C427, $C$3:$C$10)</f>
        <v>bs</v>
      </c>
      <c r="F427" s="88" t="str">
        <f t="shared" si="107"/>
        <v>&lt;tr&gt;&lt;td&gt;4 Sets of 4 Reps &lt;/td&gt;&lt;td&gt;85%&lt;/td&gt;&lt;td&gt;${percent(bs, 85)}&lt;/td&gt;&lt;/tr&gt;</v>
      </c>
      <c r="H427" s="62"/>
      <c r="I427" s="62"/>
      <c r="K427" s="62"/>
      <c r="L427" s="62"/>
    </row>
    <row r="428" spans="1:12" ht="15" customHeight="1" x14ac:dyDescent="0.25">
      <c r="A428" s="71"/>
      <c r="B428" s="8"/>
      <c r="C428" s="76"/>
      <c r="D428" s="8" t="str">
        <f t="shared" si="99"/>
        <v/>
      </c>
      <c r="E428" s="8" t="str" cm="1">
        <f t="array" ref="E428">GetColorMatchValue(C428, $C$3:$C$10)</f>
        <v/>
      </c>
      <c r="F428" s="89" t="s">
        <v>193</v>
      </c>
      <c r="H428" s="62"/>
      <c r="I428" s="62"/>
      <c r="K428" s="62"/>
      <c r="L428" s="62"/>
    </row>
    <row r="429" spans="1:12" ht="15" customHeight="1" x14ac:dyDescent="0.25">
      <c r="A429" s="72" t="s">
        <v>42</v>
      </c>
      <c r="B429" s="8"/>
      <c r="C429" s="76"/>
      <c r="D429" s="8" t="str">
        <f t="shared" si="99"/>
        <v/>
      </c>
      <c r="E429" s="8" t="str" cm="1">
        <f t="array" ref="E429">GetColorMatchValue(C429, $C$3:$C$10)</f>
        <v/>
      </c>
      <c r="F429" s="88" t="str">
        <f>"&lt;tr&gt;&lt;th colspan=""3""&gt;"&amp;A429&amp;"&lt;/th&gt;&lt;/tr&gt;"</f>
        <v>&lt;tr&gt;&lt;th colspan="3"&gt;Snatch&lt;/th&gt;&lt;/tr&gt;</v>
      </c>
      <c r="H429" s="62"/>
      <c r="I429" s="62"/>
      <c r="K429" s="62"/>
      <c r="L429" s="62"/>
    </row>
    <row r="430" spans="1:12" ht="15" customHeight="1" x14ac:dyDescent="0.25">
      <c r="A430" s="71" t="s">
        <v>113</v>
      </c>
      <c r="B430" s="7">
        <v>0.6</v>
      </c>
      <c r="C430" s="78">
        <f t="shared" ref="C430:C434" si="109">$B$7*B430</f>
        <v>57</v>
      </c>
      <c r="D430" s="8">
        <f t="shared" si="99"/>
        <v>60</v>
      </c>
      <c r="E430" s="8" t="str" cm="1">
        <f t="array" ref="E430">GetColorMatchValue(C430, $C$3:$C$10)</f>
        <v>s</v>
      </c>
      <c r="F430" s="88" t="str">
        <f t="shared" ref="F430:F434" si="110">"&lt;tr&gt;&lt;td&gt;"&amp;A430&amp;"&lt;/td&gt;&lt;td&gt;"&amp;D430&amp;"%&lt;/td&gt;&lt;td&gt;${percent("&amp;E430&amp;", "&amp;D430&amp;")}&lt;/td&gt;&lt;/tr&gt;"</f>
        <v>&lt;tr&gt;&lt;td&gt;1 Set of 2 Reps &lt;/td&gt;&lt;td&gt;60%&lt;/td&gt;&lt;td&gt;${percent(s, 60)}&lt;/td&gt;&lt;/tr&gt;</v>
      </c>
      <c r="H430" s="62"/>
      <c r="I430" s="62"/>
      <c r="K430" s="62"/>
      <c r="L430" s="62"/>
    </row>
    <row r="431" spans="1:12" ht="15" customHeight="1" x14ac:dyDescent="0.25">
      <c r="A431" s="71" t="s">
        <v>113</v>
      </c>
      <c r="B431" s="7">
        <v>0.7</v>
      </c>
      <c r="C431" s="78">
        <f t="shared" si="109"/>
        <v>66.5</v>
      </c>
      <c r="D431" s="8">
        <f t="shared" si="99"/>
        <v>70</v>
      </c>
      <c r="E431" s="8" t="str" cm="1">
        <f t="array" ref="E431">GetColorMatchValue(C431, $C$3:$C$10)</f>
        <v>s</v>
      </c>
      <c r="F431" s="88" t="str">
        <f t="shared" si="110"/>
        <v>&lt;tr&gt;&lt;td&gt;1 Set of 2 Reps &lt;/td&gt;&lt;td&gt;70%&lt;/td&gt;&lt;td&gt;${percent(s, 70)}&lt;/td&gt;&lt;/tr&gt;</v>
      </c>
      <c r="H431" s="62"/>
      <c r="I431" s="62"/>
      <c r="K431" s="62"/>
      <c r="L431" s="62"/>
    </row>
    <row r="432" spans="1:12" ht="15" customHeight="1" x14ac:dyDescent="0.25">
      <c r="A432" s="71" t="s">
        <v>113</v>
      </c>
      <c r="B432" s="7">
        <v>0.8</v>
      </c>
      <c r="C432" s="78">
        <f t="shared" si="109"/>
        <v>76</v>
      </c>
      <c r="D432" s="8">
        <f t="shared" si="99"/>
        <v>80</v>
      </c>
      <c r="E432" s="8" t="str" cm="1">
        <f t="array" ref="E432">GetColorMatchValue(C432, $C$3:$C$10)</f>
        <v>s</v>
      </c>
      <c r="F432" s="88" t="str">
        <f t="shared" si="110"/>
        <v>&lt;tr&gt;&lt;td&gt;1 Set of 2 Reps &lt;/td&gt;&lt;td&gt;80%&lt;/td&gt;&lt;td&gt;${percent(s, 80)}&lt;/td&gt;&lt;/tr&gt;</v>
      </c>
      <c r="H432" s="62"/>
      <c r="I432" s="62"/>
      <c r="K432" s="62"/>
      <c r="L432" s="62"/>
    </row>
    <row r="433" spans="1:12" ht="15" customHeight="1" x14ac:dyDescent="0.25">
      <c r="A433" s="71" t="s">
        <v>98</v>
      </c>
      <c r="B433" s="7">
        <v>0.85</v>
      </c>
      <c r="C433" s="78">
        <f t="shared" si="109"/>
        <v>80.75</v>
      </c>
      <c r="D433" s="8">
        <f t="shared" si="99"/>
        <v>85</v>
      </c>
      <c r="E433" s="8" t="str" cm="1">
        <f t="array" ref="E433">GetColorMatchValue(C433, $C$3:$C$10)</f>
        <v>s</v>
      </c>
      <c r="F433" s="88" t="str">
        <f t="shared" si="110"/>
        <v>&lt;tr&gt;&lt;td&gt;1 Set of 1 Rep &lt;/td&gt;&lt;td&gt;85%&lt;/td&gt;&lt;td&gt;${percent(s, 85)}&lt;/td&gt;&lt;/tr&gt;</v>
      </c>
      <c r="H433" s="62"/>
      <c r="I433" s="62"/>
      <c r="K433" s="62"/>
      <c r="L433" s="62"/>
    </row>
    <row r="434" spans="1:12" ht="15" customHeight="1" x14ac:dyDescent="0.25">
      <c r="A434" s="71" t="s">
        <v>98</v>
      </c>
      <c r="B434" s="7">
        <v>0.9</v>
      </c>
      <c r="C434" s="78">
        <f t="shared" si="109"/>
        <v>85.5</v>
      </c>
      <c r="D434" s="8">
        <f t="shared" si="99"/>
        <v>90</v>
      </c>
      <c r="E434" s="8" t="str" cm="1">
        <f t="array" ref="E434">GetColorMatchValue(C434, $C$3:$C$10)</f>
        <v>s</v>
      </c>
      <c r="F434" s="88" t="str">
        <f t="shared" si="110"/>
        <v>&lt;tr&gt;&lt;td&gt;1 Set of 1 Rep &lt;/td&gt;&lt;td&gt;90%&lt;/td&gt;&lt;td&gt;${percent(s, 90)}&lt;/td&gt;&lt;/tr&gt;</v>
      </c>
      <c r="H434" s="62"/>
      <c r="I434" s="62"/>
      <c r="K434" s="62"/>
      <c r="L434" s="62"/>
    </row>
    <row r="435" spans="1:12" ht="15" customHeight="1" x14ac:dyDescent="0.25">
      <c r="A435" s="71"/>
      <c r="B435" s="8"/>
      <c r="C435" s="76"/>
      <c r="D435" s="8" t="str">
        <f t="shared" si="99"/>
        <v/>
      </c>
      <c r="E435" s="8" t="str" cm="1">
        <f t="array" ref="E435">GetColorMatchValue(C435, $C$3:$C$10)</f>
        <v/>
      </c>
      <c r="F435" s="89" t="s">
        <v>193</v>
      </c>
      <c r="H435" s="62"/>
      <c r="I435" s="62"/>
      <c r="K435" s="62"/>
      <c r="L435" s="62"/>
    </row>
    <row r="436" spans="1:12" ht="15" customHeight="1" x14ac:dyDescent="0.25">
      <c r="A436" s="72" t="s">
        <v>43</v>
      </c>
      <c r="B436" s="8"/>
      <c r="C436" s="76"/>
      <c r="D436" s="8" t="str">
        <f t="shared" si="99"/>
        <v/>
      </c>
      <c r="E436" s="8" t="str" cm="1">
        <f t="array" ref="E436">GetColorMatchValue(C436, $C$3:$C$10)</f>
        <v/>
      </c>
      <c r="F436" s="88" t="str">
        <f>"&lt;tr&gt;&lt;th colspan=""3""&gt;"&amp;A436&amp;"&lt;/th&gt;&lt;/tr&gt;"</f>
        <v>&lt;tr&gt;&lt;th colspan="3"&gt;Clean + Jerk&lt;/th&gt;&lt;/tr&gt;</v>
      </c>
      <c r="H436" s="62"/>
      <c r="I436" s="62"/>
      <c r="K436" s="62"/>
      <c r="L436" s="62"/>
    </row>
    <row r="437" spans="1:12" ht="15" customHeight="1" x14ac:dyDescent="0.25">
      <c r="A437" s="71" t="s">
        <v>169</v>
      </c>
      <c r="B437" s="7">
        <v>0.6</v>
      </c>
      <c r="C437" s="82">
        <f t="shared" ref="C437:C441" si="111">$B$8*B437</f>
        <v>69</v>
      </c>
      <c r="D437" s="8">
        <f t="shared" si="99"/>
        <v>60</v>
      </c>
      <c r="E437" s="8" t="str" cm="1">
        <f t="array" ref="E437">GetColorMatchValue(C437, $C$3:$C$10)</f>
        <v>cj</v>
      </c>
      <c r="F437" s="88" t="str">
        <f t="shared" ref="F437:F441" si="112">"&lt;tr&gt;&lt;td&gt;"&amp;A437&amp;"&lt;/td&gt;&lt;td&gt;"&amp;D437&amp;"%&lt;/td&gt;&lt;td&gt;${percent("&amp;E437&amp;", "&amp;D437&amp;")}&lt;/td&gt;&lt;/tr&gt;"</f>
        <v>&lt;tr&gt;&lt;td&gt;1 Set of 2 Cl. +1 Jr. &lt;/td&gt;&lt;td&gt;60%&lt;/td&gt;&lt;td&gt;${percent(cj, 60)}&lt;/td&gt;&lt;/tr&gt;</v>
      </c>
      <c r="H437" s="62"/>
      <c r="I437" s="62"/>
      <c r="K437" s="62"/>
      <c r="L437" s="62"/>
    </row>
    <row r="438" spans="1:12" ht="15" customHeight="1" x14ac:dyDescent="0.25">
      <c r="A438" s="71" t="s">
        <v>169</v>
      </c>
      <c r="B438" s="7">
        <v>0.7</v>
      </c>
      <c r="C438" s="82">
        <f t="shared" si="111"/>
        <v>80.5</v>
      </c>
      <c r="D438" s="8">
        <f t="shared" si="99"/>
        <v>70</v>
      </c>
      <c r="E438" s="8" t="str" cm="1">
        <f t="array" ref="E438">GetColorMatchValue(C438, $C$3:$C$10)</f>
        <v>cj</v>
      </c>
      <c r="F438" s="88" t="str">
        <f t="shared" si="112"/>
        <v>&lt;tr&gt;&lt;td&gt;1 Set of 2 Cl. +1 Jr. &lt;/td&gt;&lt;td&gt;70%&lt;/td&gt;&lt;td&gt;${percent(cj, 70)}&lt;/td&gt;&lt;/tr&gt;</v>
      </c>
      <c r="H438" s="62"/>
      <c r="I438" s="62"/>
      <c r="K438" s="62"/>
      <c r="L438" s="62"/>
    </row>
    <row r="439" spans="1:12" ht="15" customHeight="1" x14ac:dyDescent="0.25">
      <c r="A439" s="71" t="s">
        <v>169</v>
      </c>
      <c r="B439" s="7">
        <v>0.8</v>
      </c>
      <c r="C439" s="82">
        <f t="shared" si="111"/>
        <v>92</v>
      </c>
      <c r="D439" s="8">
        <f t="shared" si="99"/>
        <v>80</v>
      </c>
      <c r="E439" s="8" t="str" cm="1">
        <f t="array" ref="E439">GetColorMatchValue(C439, $C$3:$C$10)</f>
        <v>cj</v>
      </c>
      <c r="F439" s="88" t="str">
        <f t="shared" si="112"/>
        <v>&lt;tr&gt;&lt;td&gt;1 Set of 2 Cl. +1 Jr. &lt;/td&gt;&lt;td&gt;80%&lt;/td&gt;&lt;td&gt;${percent(cj, 80)}&lt;/td&gt;&lt;/tr&gt;</v>
      </c>
      <c r="H439" s="62"/>
      <c r="I439" s="62"/>
      <c r="K439" s="62"/>
      <c r="L439" s="62"/>
    </row>
    <row r="440" spans="1:12" ht="15" customHeight="1" x14ac:dyDescent="0.25">
      <c r="A440" s="71" t="s">
        <v>170</v>
      </c>
      <c r="B440" s="7">
        <v>0.85</v>
      </c>
      <c r="C440" s="82">
        <f t="shared" si="111"/>
        <v>97.75</v>
      </c>
      <c r="D440" s="8">
        <f t="shared" si="99"/>
        <v>85</v>
      </c>
      <c r="E440" s="8" t="str" cm="1">
        <f t="array" ref="E440">GetColorMatchValue(C440, $C$3:$C$10)</f>
        <v>cj</v>
      </c>
      <c r="F440" s="88" t="str">
        <f t="shared" si="112"/>
        <v>&lt;tr&gt;&lt;td&gt;1 Set of 1 Cl. +1 Jr. &lt;/td&gt;&lt;td&gt;85%&lt;/td&gt;&lt;td&gt;${percent(cj, 85)}&lt;/td&gt;&lt;/tr&gt;</v>
      </c>
      <c r="H440" s="62"/>
      <c r="I440" s="62"/>
      <c r="K440" s="62"/>
      <c r="L440" s="62"/>
    </row>
    <row r="441" spans="1:12" ht="15" customHeight="1" x14ac:dyDescent="0.25">
      <c r="A441" s="71" t="s">
        <v>170</v>
      </c>
      <c r="B441" s="7">
        <v>0.9</v>
      </c>
      <c r="C441" s="82">
        <f t="shared" si="111"/>
        <v>103.5</v>
      </c>
      <c r="D441" s="8">
        <f t="shared" si="99"/>
        <v>90</v>
      </c>
      <c r="E441" s="8" t="str" cm="1">
        <f t="array" ref="E441">GetColorMatchValue(C441, $C$3:$C$10)</f>
        <v>cj</v>
      </c>
      <c r="F441" s="88" t="str">
        <f t="shared" si="112"/>
        <v>&lt;tr&gt;&lt;td&gt;1 Set of 1 Cl. +1 Jr. &lt;/td&gt;&lt;td&gt;90%&lt;/td&gt;&lt;td&gt;${percent(cj, 90)}&lt;/td&gt;&lt;/tr&gt;</v>
      </c>
      <c r="H441" s="62"/>
      <c r="I441" s="62"/>
      <c r="K441" s="62"/>
      <c r="L441" s="62"/>
    </row>
    <row r="442" spans="1:12" ht="15" customHeight="1" x14ac:dyDescent="0.25">
      <c r="A442" s="71"/>
      <c r="B442" s="8"/>
      <c r="C442" s="76"/>
      <c r="D442" s="8" t="str">
        <f t="shared" si="99"/>
        <v/>
      </c>
      <c r="E442" s="8" t="str" cm="1">
        <f t="array" ref="E442">GetColorMatchValue(C442, $C$3:$C$10)</f>
        <v/>
      </c>
      <c r="F442" s="89" t="s">
        <v>193</v>
      </c>
      <c r="H442" s="62"/>
      <c r="I442" s="62"/>
      <c r="K442" s="62"/>
      <c r="L442" s="62"/>
    </row>
    <row r="443" spans="1:12" ht="15" customHeight="1" x14ac:dyDescent="0.25">
      <c r="A443" s="72" t="s">
        <v>23</v>
      </c>
      <c r="B443" s="8"/>
      <c r="C443" s="76"/>
      <c r="D443" s="8" t="str">
        <f t="shared" si="99"/>
        <v/>
      </c>
      <c r="E443" s="8" t="str" cm="1">
        <f t="array" ref="E443">GetColorMatchValue(C443, $C$3:$C$10)</f>
        <v/>
      </c>
      <c r="F443" s="88" t="str">
        <f>"&lt;tr&gt;&lt;th colspan=""3""&gt;"&amp;A443&amp;"&lt;/th&gt;&lt;/tr&gt;"</f>
        <v>&lt;tr&gt;&lt;th colspan="3"&gt;Push Press&lt;/th&gt;&lt;/tr&gt;</v>
      </c>
      <c r="H443" s="62"/>
      <c r="I443" s="62"/>
      <c r="K443" s="62"/>
      <c r="L443" s="62"/>
    </row>
    <row r="444" spans="1:12" ht="15" customHeight="1" x14ac:dyDescent="0.25">
      <c r="A444" s="71" t="s">
        <v>105</v>
      </c>
      <c r="B444" s="7">
        <v>0.6</v>
      </c>
      <c r="C444" s="81">
        <f t="shared" ref="C444:C448" si="113">$B$10*B444</f>
        <v>48</v>
      </c>
      <c r="D444" s="8">
        <f t="shared" si="99"/>
        <v>60</v>
      </c>
      <c r="E444" s="8" t="str" cm="1">
        <f t="array" ref="E444">GetColorMatchValue(C444, $C$3:$C$10)</f>
        <v>pp</v>
      </c>
      <c r="F444" s="88" t="str">
        <f t="shared" ref="F444:F448" si="114">"&lt;tr&gt;&lt;td&gt;"&amp;A444&amp;"&lt;/td&gt;&lt;td&gt;"&amp;D444&amp;"%&lt;/td&gt;&lt;td&gt;${percent("&amp;E444&amp;", "&amp;D444&amp;")}&lt;/td&gt;&lt;/tr&gt;"</f>
        <v>&lt;tr&gt;&lt;td&gt;1 Set of 4 Reps &lt;/td&gt;&lt;td&gt;60%&lt;/td&gt;&lt;td&gt;${percent(pp, 60)}&lt;/td&gt;&lt;/tr&gt;</v>
      </c>
      <c r="I444" s="45"/>
      <c r="L444" s="45"/>
    </row>
    <row r="445" spans="1:12" s="13" customFormat="1" ht="15" customHeight="1" x14ac:dyDescent="0.25">
      <c r="A445" s="71" t="s">
        <v>105</v>
      </c>
      <c r="B445" s="7">
        <v>0.65</v>
      </c>
      <c r="C445" s="81">
        <f t="shared" si="113"/>
        <v>52</v>
      </c>
      <c r="D445" s="8">
        <f t="shared" si="99"/>
        <v>65</v>
      </c>
      <c r="E445" s="8" t="str" cm="1">
        <f t="array" ref="E445">GetColorMatchValue(C445, $C$3:$C$10)</f>
        <v>pp</v>
      </c>
      <c r="F445" s="88" t="str">
        <f t="shared" si="114"/>
        <v>&lt;tr&gt;&lt;td&gt;1 Set of 4 Reps &lt;/td&gt;&lt;td&gt;65%&lt;/td&gt;&lt;td&gt;${percent(pp, 65)}&lt;/td&gt;&lt;/tr&gt;</v>
      </c>
    </row>
    <row r="446" spans="1:12" ht="15" customHeight="1" x14ac:dyDescent="0.25">
      <c r="A446" s="71" t="s">
        <v>105</v>
      </c>
      <c r="B446" s="7">
        <v>0.7</v>
      </c>
      <c r="C446" s="81">
        <f t="shared" si="113"/>
        <v>56</v>
      </c>
      <c r="D446" s="8">
        <f t="shared" si="99"/>
        <v>70</v>
      </c>
      <c r="E446" s="8" t="str" cm="1">
        <f t="array" ref="E446">GetColorMatchValue(C446, $C$3:$C$10)</f>
        <v>pp</v>
      </c>
      <c r="F446" s="88" t="str">
        <f t="shared" si="114"/>
        <v>&lt;tr&gt;&lt;td&gt;1 Set of 4 Reps &lt;/td&gt;&lt;td&gt;70%&lt;/td&gt;&lt;td&gt;${percent(pp, 70)}&lt;/td&gt;&lt;/tr&gt;</v>
      </c>
    </row>
    <row r="447" spans="1:12" ht="15" customHeight="1" x14ac:dyDescent="0.25">
      <c r="A447" s="71" t="s">
        <v>105</v>
      </c>
      <c r="B447" s="7">
        <v>0.6</v>
      </c>
      <c r="C447" s="81">
        <f t="shared" si="113"/>
        <v>48</v>
      </c>
      <c r="D447" s="8">
        <f t="shared" si="99"/>
        <v>60</v>
      </c>
      <c r="E447" s="8" t="str" cm="1">
        <f t="array" ref="E447">GetColorMatchValue(C447, $C$3:$C$10)</f>
        <v>pp</v>
      </c>
      <c r="F447" s="88" t="str">
        <f t="shared" si="114"/>
        <v>&lt;tr&gt;&lt;td&gt;1 Set of 4 Reps &lt;/td&gt;&lt;td&gt;60%&lt;/td&gt;&lt;td&gt;${percent(pp, 60)}&lt;/td&gt;&lt;/tr&gt;</v>
      </c>
    </row>
    <row r="448" spans="1:12" ht="15" customHeight="1" x14ac:dyDescent="0.25">
      <c r="A448" s="71" t="s">
        <v>95</v>
      </c>
      <c r="B448" s="7">
        <v>0.65</v>
      </c>
      <c r="C448" s="81">
        <f t="shared" si="113"/>
        <v>52</v>
      </c>
      <c r="D448" s="8">
        <f t="shared" si="99"/>
        <v>65</v>
      </c>
      <c r="E448" s="8" t="str" cm="1">
        <f t="array" ref="E448">GetColorMatchValue(C448, $C$3:$C$10)</f>
        <v>pp</v>
      </c>
      <c r="F448" s="88" t="str">
        <f t="shared" si="114"/>
        <v>&lt;tr&gt;&lt;td&gt;1 Set of 3 Reps &lt;/td&gt;&lt;td&gt;65%&lt;/td&gt;&lt;td&gt;${percent(pp, 65)}&lt;/td&gt;&lt;/tr&gt;</v>
      </c>
    </row>
    <row r="449" spans="1:12" ht="15" customHeight="1" x14ac:dyDescent="0.25">
      <c r="A449" s="71"/>
      <c r="B449" s="8"/>
      <c r="C449" s="76"/>
      <c r="D449" s="8" t="str">
        <f t="shared" ref="D449:D510" si="115">IF(ISNUMBER(B449), B449 * 100, "")</f>
        <v/>
      </c>
      <c r="E449" s="8" t="str" cm="1">
        <f t="array" ref="E449">GetColorMatchValue(C449, $C$3:$C$10)</f>
        <v/>
      </c>
      <c r="F449" s="89" t="s">
        <v>193</v>
      </c>
    </row>
    <row r="450" spans="1:12" ht="15" customHeight="1" x14ac:dyDescent="0.25">
      <c r="A450" s="72" t="s">
        <v>83</v>
      </c>
      <c r="B450" s="8"/>
      <c r="C450" s="76"/>
      <c r="D450" s="8" t="str">
        <f t="shared" si="115"/>
        <v/>
      </c>
      <c r="E450" s="8" t="str" cm="1">
        <f t="array" ref="E450">GetColorMatchValue(C450, $C$3:$C$10)</f>
        <v/>
      </c>
      <c r="F450" s="88" t="str">
        <f>"&lt;tr&gt;&lt;th colspan=""3""&gt;"&amp;A450&amp;"&lt;/th&gt;&lt;/tr&gt;"</f>
        <v>&lt;tr&gt;&lt;th colspan="3"&gt;Snatch Pulls &lt;/th&gt;&lt;/tr&gt;</v>
      </c>
    </row>
    <row r="451" spans="1:12" ht="15" customHeight="1" x14ac:dyDescent="0.25">
      <c r="A451" s="71" t="s">
        <v>105</v>
      </c>
      <c r="B451" s="7">
        <v>0.9</v>
      </c>
      <c r="C451" s="78">
        <f t="shared" ref="C451:C458" si="116">$B$7*B451</f>
        <v>85.5</v>
      </c>
      <c r="D451" s="8">
        <f t="shared" si="115"/>
        <v>90</v>
      </c>
      <c r="E451" s="8" t="str" cm="1">
        <f t="array" ref="E451">GetColorMatchValue(C451, $C$3:$C$10)</f>
        <v>s</v>
      </c>
      <c r="F451" s="88" t="str">
        <f t="shared" ref="F451:F458" si="117">"&lt;tr&gt;&lt;td&gt;"&amp;A451&amp;"&lt;/td&gt;&lt;td&gt;"&amp;D451&amp;"%&lt;/td&gt;&lt;td&gt;${percent("&amp;E451&amp;", "&amp;D451&amp;")}&lt;/td&gt;&lt;/tr&gt;"</f>
        <v>&lt;tr&gt;&lt;td&gt;1 Set of 4 Reps &lt;/td&gt;&lt;td&gt;90%&lt;/td&gt;&lt;td&gt;${percent(s, 90)}&lt;/td&gt;&lt;/tr&gt;</v>
      </c>
    </row>
    <row r="452" spans="1:12" ht="15" customHeight="1" x14ac:dyDescent="0.25">
      <c r="A452" s="71" t="s">
        <v>95</v>
      </c>
      <c r="B452" s="7">
        <v>1</v>
      </c>
      <c r="C452" s="78">
        <f t="shared" si="116"/>
        <v>95</v>
      </c>
      <c r="D452" s="8">
        <f t="shared" si="115"/>
        <v>100</v>
      </c>
      <c r="E452" s="8" t="str" cm="1">
        <f t="array" ref="E452">GetColorMatchValue(C452, $C$3:$C$10)</f>
        <v>s</v>
      </c>
      <c r="F452" s="88" t="str">
        <f t="shared" si="117"/>
        <v>&lt;tr&gt;&lt;td&gt;1 Set of 3 Reps &lt;/td&gt;&lt;td&gt;100%&lt;/td&gt;&lt;td&gt;${percent(s, 100)}&lt;/td&gt;&lt;/tr&gt;</v>
      </c>
    </row>
    <row r="453" spans="1:12" ht="15" customHeight="1" x14ac:dyDescent="0.25">
      <c r="A453" s="71" t="s">
        <v>105</v>
      </c>
      <c r="B453" s="7">
        <v>0.9</v>
      </c>
      <c r="C453" s="78">
        <f t="shared" si="116"/>
        <v>85.5</v>
      </c>
      <c r="D453" s="8">
        <f t="shared" si="115"/>
        <v>90</v>
      </c>
      <c r="E453" s="8" t="str" cm="1">
        <f t="array" ref="E453">GetColorMatchValue(C453, $C$3:$C$10)</f>
        <v>s</v>
      </c>
      <c r="F453" s="88" t="str">
        <f t="shared" si="117"/>
        <v>&lt;tr&gt;&lt;td&gt;1 Set of 4 Reps &lt;/td&gt;&lt;td&gt;90%&lt;/td&gt;&lt;td&gt;${percent(s, 90)}&lt;/td&gt;&lt;/tr&gt;</v>
      </c>
    </row>
    <row r="454" spans="1:12" ht="15" customHeight="1" x14ac:dyDescent="0.25">
      <c r="A454" s="71" t="s">
        <v>95</v>
      </c>
      <c r="B454" s="7">
        <v>1</v>
      </c>
      <c r="C454" s="78">
        <f t="shared" si="116"/>
        <v>95</v>
      </c>
      <c r="D454" s="8">
        <f t="shared" si="115"/>
        <v>100</v>
      </c>
      <c r="E454" s="8" t="str" cm="1">
        <f t="array" ref="E454">GetColorMatchValue(C454, $C$3:$C$10)</f>
        <v>s</v>
      </c>
      <c r="F454" s="88" t="str">
        <f t="shared" si="117"/>
        <v>&lt;tr&gt;&lt;td&gt;1 Set of 3 Reps &lt;/td&gt;&lt;td&gt;100%&lt;/td&gt;&lt;td&gt;${percent(s, 100)}&lt;/td&gt;&lt;/tr&gt;</v>
      </c>
    </row>
    <row r="455" spans="1:12" ht="15" customHeight="1" x14ac:dyDescent="0.25">
      <c r="A455" s="71" t="s">
        <v>105</v>
      </c>
      <c r="B455" s="7">
        <v>0.9</v>
      </c>
      <c r="C455" s="78">
        <f t="shared" si="116"/>
        <v>85.5</v>
      </c>
      <c r="D455" s="8">
        <f t="shared" si="115"/>
        <v>90</v>
      </c>
      <c r="E455" s="8" t="str" cm="1">
        <f t="array" ref="E455">GetColorMatchValue(C455, $C$3:$C$10)</f>
        <v>s</v>
      </c>
      <c r="F455" s="88" t="str">
        <f t="shared" si="117"/>
        <v>&lt;tr&gt;&lt;td&gt;1 Set of 4 Reps &lt;/td&gt;&lt;td&gt;90%&lt;/td&gt;&lt;td&gt;${percent(s, 90)}&lt;/td&gt;&lt;/tr&gt;</v>
      </c>
    </row>
    <row r="456" spans="1:12" ht="15" customHeight="1" x14ac:dyDescent="0.25">
      <c r="A456" s="71" t="s">
        <v>95</v>
      </c>
      <c r="B456" s="7">
        <v>1</v>
      </c>
      <c r="C456" s="78">
        <f t="shared" si="116"/>
        <v>95</v>
      </c>
      <c r="D456" s="8">
        <f t="shared" si="115"/>
        <v>100</v>
      </c>
      <c r="E456" s="8" t="str" cm="1">
        <f t="array" ref="E456">GetColorMatchValue(C456, $C$3:$C$10)</f>
        <v>s</v>
      </c>
      <c r="F456" s="88" t="str">
        <f t="shared" si="117"/>
        <v>&lt;tr&gt;&lt;td&gt;1 Set of 3 Reps &lt;/td&gt;&lt;td&gt;100%&lt;/td&gt;&lt;td&gt;${percent(s, 100)}&lt;/td&gt;&lt;/tr&gt;</v>
      </c>
    </row>
    <row r="457" spans="1:12" ht="15" customHeight="1" x14ac:dyDescent="0.25">
      <c r="A457" s="71" t="s">
        <v>105</v>
      </c>
      <c r="B457" s="7">
        <v>0.9</v>
      </c>
      <c r="C457" s="78">
        <f t="shared" si="116"/>
        <v>85.5</v>
      </c>
      <c r="D457" s="8">
        <f t="shared" si="115"/>
        <v>90</v>
      </c>
      <c r="E457" s="8" t="str" cm="1">
        <f t="array" ref="E457">GetColorMatchValue(C457, $C$3:$C$10)</f>
        <v>s</v>
      </c>
      <c r="F457" s="88" t="str">
        <f t="shared" si="117"/>
        <v>&lt;tr&gt;&lt;td&gt;1 Set of 4 Reps &lt;/td&gt;&lt;td&gt;90%&lt;/td&gt;&lt;td&gt;${percent(s, 90)}&lt;/td&gt;&lt;/tr&gt;</v>
      </c>
    </row>
    <row r="458" spans="1:12" ht="15" customHeight="1" x14ac:dyDescent="0.25">
      <c r="A458" s="71" t="s">
        <v>95</v>
      </c>
      <c r="B458" s="7">
        <v>1</v>
      </c>
      <c r="C458" s="78">
        <f t="shared" si="116"/>
        <v>95</v>
      </c>
      <c r="D458" s="8">
        <f t="shared" si="115"/>
        <v>100</v>
      </c>
      <c r="E458" s="8" t="str" cm="1">
        <f t="array" ref="E458">GetColorMatchValue(C458, $C$3:$C$10)</f>
        <v>s</v>
      </c>
      <c r="F458" s="88" t="str">
        <f t="shared" si="117"/>
        <v>&lt;tr&gt;&lt;td&gt;1 Set of 3 Reps &lt;/td&gt;&lt;td&gt;100%&lt;/td&gt;&lt;td&gt;${percent(s, 100)}&lt;/td&gt;&lt;/tr&gt;</v>
      </c>
    </row>
    <row r="459" spans="1:12" ht="15" customHeight="1" x14ac:dyDescent="0.25">
      <c r="A459" s="71"/>
      <c r="B459" s="8"/>
      <c r="C459" s="76"/>
      <c r="D459" s="8" t="str">
        <f t="shared" si="115"/>
        <v/>
      </c>
      <c r="E459" s="8" t="str" cm="1">
        <f t="array" ref="E459">GetColorMatchValue(C459, $C$3:$C$10)</f>
        <v/>
      </c>
      <c r="F459" s="89" t="s">
        <v>193</v>
      </c>
    </row>
    <row r="460" spans="1:12" ht="15" customHeight="1" x14ac:dyDescent="0.25">
      <c r="A460" s="72" t="s">
        <v>65</v>
      </c>
      <c r="B460" s="8"/>
      <c r="C460" s="76"/>
      <c r="D460" s="8" t="str">
        <f t="shared" si="115"/>
        <v/>
      </c>
      <c r="E460" s="8" t="str" cm="1">
        <f t="array" ref="E460">GetColorMatchValue(C460, $C$3:$C$10)</f>
        <v/>
      </c>
      <c r="F460" s="88" t="str">
        <f>"&lt;tr&gt;&lt;th colspan=""3""&gt;"&amp;A460&amp;"&lt;/th&gt;&lt;/tr&gt;"</f>
        <v>&lt;tr&gt;&lt;th colspan="3"&gt;Good Morning&lt;/th&gt;&lt;/tr&gt;</v>
      </c>
    </row>
    <row r="461" spans="1:12" ht="15" customHeight="1" x14ac:dyDescent="0.25">
      <c r="A461" s="71" t="s">
        <v>202</v>
      </c>
      <c r="B461" s="71" t="s">
        <v>198</v>
      </c>
      <c r="C461" s="76"/>
      <c r="D461" s="8" t="str">
        <f t="shared" si="115"/>
        <v/>
      </c>
      <c r="E461" s="8" t="str" cm="1">
        <f t="array" ref="E461">GetColorMatchValue(C461, $C$3:$C$10)</f>
        <v/>
      </c>
      <c r="F461" s="88" t="str">
        <f>"&lt;tr&gt;&lt;td colspan=""3""&gt;"&amp;A461&amp;" "&amp;B461&amp;"&lt;/td&gt;&lt;/tr&gt;"</f>
        <v>&lt;tr&gt;&lt;td colspan="3"&gt;4 Sets of 8 Reps Work up to weight where you can maintain proper form.&lt;/td&gt;&lt;/tr&gt;</v>
      </c>
    </row>
    <row r="462" spans="1:12" s="13" customFormat="1" ht="15" customHeight="1" x14ac:dyDescent="0.25">
      <c r="A462" s="90" t="s">
        <v>66</v>
      </c>
      <c r="B462" s="74" t="s">
        <v>93</v>
      </c>
      <c r="C462" s="75" t="s">
        <v>94</v>
      </c>
      <c r="D462" s="74" t="s">
        <v>192</v>
      </c>
      <c r="E462" s="75" t="s">
        <v>190</v>
      </c>
      <c r="F462" s="91" t="s">
        <v>191</v>
      </c>
    </row>
    <row r="463" spans="1:12" ht="15" customHeight="1" x14ac:dyDescent="0.25">
      <c r="A463" s="72" t="s">
        <v>0</v>
      </c>
      <c r="B463" s="8"/>
      <c r="C463" s="76"/>
      <c r="D463" s="8" t="str">
        <f t="shared" si="115"/>
        <v/>
      </c>
      <c r="E463" s="8" t="str" cm="1">
        <f t="array" ref="E463">GetColorMatchValue(C463, $C$3:$C$10)</f>
        <v/>
      </c>
      <c r="F463" s="88" t="str">
        <f>"&lt;tr&gt;&lt;th colspan=""3""&gt;"&amp;A463&amp;"&lt;/th&gt;&lt;/tr&gt;"</f>
        <v>&lt;tr&gt;&lt;th colspan="3"&gt;Back Squat&lt;/th&gt;&lt;/tr&gt;</v>
      </c>
      <c r="H463" s="62"/>
      <c r="I463" s="62"/>
      <c r="K463" s="62"/>
      <c r="L463" s="62"/>
    </row>
    <row r="464" spans="1:12" ht="15" customHeight="1" x14ac:dyDescent="0.25">
      <c r="A464" s="71" t="s">
        <v>95</v>
      </c>
      <c r="B464" s="7">
        <v>0.6</v>
      </c>
      <c r="C464" s="77">
        <f>$B$3*B464</f>
        <v>120</v>
      </c>
      <c r="D464" s="8">
        <f t="shared" si="115"/>
        <v>60</v>
      </c>
      <c r="E464" s="8" t="str" cm="1">
        <f t="array" ref="E464">GetColorMatchValue(C464, $C$3:$C$10)</f>
        <v>bs</v>
      </c>
      <c r="F464" s="88" t="str">
        <f t="shared" ref="F464:F467" si="118">"&lt;tr&gt;&lt;td&gt;"&amp;A464&amp;"&lt;/td&gt;&lt;td&gt;"&amp;D464&amp;"%&lt;/td&gt;&lt;td&gt;${percent("&amp;E464&amp;", "&amp;D464&amp;")}&lt;/td&gt;&lt;/tr&gt;"</f>
        <v>&lt;tr&gt;&lt;td&gt;1 Set of 3 Reps &lt;/td&gt;&lt;td&gt;60%&lt;/td&gt;&lt;td&gt;${percent(bs, 60)}&lt;/td&gt;&lt;/tr&gt;</v>
      </c>
      <c r="H464" s="62"/>
      <c r="I464" s="62"/>
      <c r="K464" s="62"/>
      <c r="L464" s="62"/>
    </row>
    <row r="465" spans="1:12" ht="15" customHeight="1" x14ac:dyDescent="0.25">
      <c r="A465" s="71" t="s">
        <v>95</v>
      </c>
      <c r="B465" s="7">
        <v>0.7</v>
      </c>
      <c r="C465" s="77">
        <f>$B$3*B465</f>
        <v>140</v>
      </c>
      <c r="D465" s="8">
        <f t="shared" si="115"/>
        <v>70</v>
      </c>
      <c r="E465" s="8" t="str" cm="1">
        <f t="array" ref="E465">GetColorMatchValue(C465, $C$3:$C$10)</f>
        <v>bs</v>
      </c>
      <c r="F465" s="88" t="str">
        <f t="shared" si="118"/>
        <v>&lt;tr&gt;&lt;td&gt;1 Set of 3 Reps &lt;/td&gt;&lt;td&gt;70%&lt;/td&gt;&lt;td&gt;${percent(bs, 70)}&lt;/td&gt;&lt;/tr&gt;</v>
      </c>
      <c r="H465" s="62"/>
      <c r="I465" s="62"/>
      <c r="K465" s="62"/>
      <c r="L465" s="62"/>
    </row>
    <row r="466" spans="1:12" ht="15" customHeight="1" x14ac:dyDescent="0.25">
      <c r="A466" s="71" t="s">
        <v>95</v>
      </c>
      <c r="B466" s="7">
        <v>0.8</v>
      </c>
      <c r="C466" s="77">
        <f>$B$3*B466</f>
        <v>160</v>
      </c>
      <c r="D466" s="8">
        <f t="shared" si="115"/>
        <v>80</v>
      </c>
      <c r="E466" s="8" t="str" cm="1">
        <f t="array" ref="E466">GetColorMatchValue(C466, $C$3:$C$10)</f>
        <v>bs</v>
      </c>
      <c r="F466" s="88" t="str">
        <f t="shared" si="118"/>
        <v>&lt;tr&gt;&lt;td&gt;1 Set of 3 Reps &lt;/td&gt;&lt;td&gt;80%&lt;/td&gt;&lt;td&gt;${percent(bs, 80)}&lt;/td&gt;&lt;/tr&gt;</v>
      </c>
      <c r="H466" s="62"/>
      <c r="I466" s="62"/>
      <c r="K466" s="62"/>
      <c r="L466" s="62"/>
    </row>
    <row r="467" spans="1:12" ht="15" customHeight="1" x14ac:dyDescent="0.25">
      <c r="A467" s="71" t="s">
        <v>95</v>
      </c>
      <c r="B467" s="7">
        <v>0.85</v>
      </c>
      <c r="C467" s="77">
        <f t="shared" ref="C467" si="119">$B$3*B467</f>
        <v>170</v>
      </c>
      <c r="D467" s="8">
        <f t="shared" si="115"/>
        <v>85</v>
      </c>
      <c r="E467" s="8" t="str" cm="1">
        <f t="array" ref="E467">GetColorMatchValue(C467, $C$3:$C$10)</f>
        <v>bs</v>
      </c>
      <c r="F467" s="88" t="str">
        <f t="shared" si="118"/>
        <v>&lt;tr&gt;&lt;td&gt;1 Set of 3 Reps &lt;/td&gt;&lt;td&gt;85%&lt;/td&gt;&lt;td&gt;${percent(bs, 85)}&lt;/td&gt;&lt;/tr&gt;</v>
      </c>
      <c r="H467" s="62"/>
      <c r="I467" s="62"/>
      <c r="K467" s="62"/>
      <c r="L467" s="62"/>
    </row>
    <row r="468" spans="1:12" ht="15" customHeight="1" x14ac:dyDescent="0.25">
      <c r="A468" s="71"/>
      <c r="B468" s="8"/>
      <c r="C468" s="76"/>
      <c r="D468" s="8" t="str">
        <f t="shared" si="115"/>
        <v/>
      </c>
      <c r="E468" s="8" t="str" cm="1">
        <f t="array" ref="E468">GetColorMatchValue(C468, $C$3:$C$10)</f>
        <v/>
      </c>
      <c r="F468" s="89" t="s">
        <v>193</v>
      </c>
      <c r="H468" s="62"/>
      <c r="I468" s="62"/>
      <c r="K468" s="62"/>
      <c r="L468" s="62"/>
    </row>
    <row r="469" spans="1:12" ht="15" customHeight="1" x14ac:dyDescent="0.25">
      <c r="A469" s="72" t="s">
        <v>1</v>
      </c>
      <c r="B469" s="8"/>
      <c r="C469" s="76"/>
      <c r="D469" s="8" t="str">
        <f t="shared" si="115"/>
        <v/>
      </c>
      <c r="E469" s="8" t="str" cm="1">
        <f t="array" ref="E469">GetColorMatchValue(C469, $C$3:$C$10)</f>
        <v/>
      </c>
      <c r="F469" s="88" t="str">
        <f>"&lt;tr&gt;&lt;th colspan=""3""&gt;"&amp;A469&amp;"&lt;/th&gt;&lt;/tr&gt;"</f>
        <v>&lt;tr&gt;&lt;th colspan="3"&gt;Power Snatch&lt;/th&gt;&lt;/tr&gt;</v>
      </c>
      <c r="H469" s="62"/>
      <c r="I469" s="62"/>
      <c r="K469" s="62"/>
      <c r="L469" s="62"/>
    </row>
    <row r="470" spans="1:12" ht="15" customHeight="1" x14ac:dyDescent="0.25">
      <c r="A470" s="71" t="s">
        <v>95</v>
      </c>
      <c r="B470" s="7">
        <v>0.6</v>
      </c>
      <c r="C470" s="78">
        <f t="shared" ref="C470:C471" si="120">$B$7*B470</f>
        <v>57</v>
      </c>
      <c r="D470" s="8">
        <f t="shared" si="115"/>
        <v>60</v>
      </c>
      <c r="E470" s="8" t="str" cm="1">
        <f t="array" ref="E470">GetColorMatchValue(C470, $C$3:$C$10)</f>
        <v>s</v>
      </c>
      <c r="F470" s="88" t="str">
        <f t="shared" ref="F470:F471" si="121">"&lt;tr&gt;&lt;td&gt;"&amp;A470&amp;"&lt;/td&gt;&lt;td&gt;"&amp;D470&amp;"%&lt;/td&gt;&lt;td&gt;${percent("&amp;E470&amp;", "&amp;D470&amp;")}&lt;/td&gt;&lt;/tr&gt;"</f>
        <v>&lt;tr&gt;&lt;td&gt;1 Set of 3 Reps &lt;/td&gt;&lt;td&gt;60%&lt;/td&gt;&lt;td&gt;${percent(s, 60)}&lt;/td&gt;&lt;/tr&gt;</v>
      </c>
      <c r="H470" s="62"/>
      <c r="I470" s="62"/>
      <c r="K470" s="62"/>
      <c r="L470" s="62"/>
    </row>
    <row r="471" spans="1:12" ht="15" customHeight="1" x14ac:dyDescent="0.25">
      <c r="A471" s="71" t="s">
        <v>125</v>
      </c>
      <c r="B471" s="7">
        <v>0.7</v>
      </c>
      <c r="C471" s="78">
        <f t="shared" si="120"/>
        <v>66.5</v>
      </c>
      <c r="D471" s="8">
        <f t="shared" si="115"/>
        <v>70</v>
      </c>
      <c r="E471" s="8" t="str" cm="1">
        <f t="array" ref="E471">GetColorMatchValue(C471, $C$3:$C$10)</f>
        <v>s</v>
      </c>
      <c r="F471" s="88" t="str">
        <f t="shared" si="121"/>
        <v>&lt;tr&gt;&lt;td&gt;4 Sets of 3 reps &lt;/td&gt;&lt;td&gt;70%&lt;/td&gt;&lt;td&gt;${percent(s, 70)}&lt;/td&gt;&lt;/tr&gt;</v>
      </c>
      <c r="H471" s="62"/>
      <c r="I471" s="62"/>
      <c r="K471" s="62"/>
      <c r="L471" s="62"/>
    </row>
    <row r="472" spans="1:12" ht="15" customHeight="1" x14ac:dyDescent="0.25">
      <c r="A472" s="71"/>
      <c r="B472" s="8"/>
      <c r="C472" s="76"/>
      <c r="D472" s="8" t="str">
        <f t="shared" si="115"/>
        <v/>
      </c>
      <c r="E472" s="8" t="str" cm="1">
        <f t="array" ref="E472">GetColorMatchValue(C472, $C$3:$C$10)</f>
        <v/>
      </c>
      <c r="F472" s="89" t="s">
        <v>193</v>
      </c>
      <c r="H472" s="62"/>
      <c r="I472" s="62"/>
      <c r="K472" s="62"/>
      <c r="L472" s="62"/>
    </row>
    <row r="473" spans="1:12" ht="15" customHeight="1" x14ac:dyDescent="0.25">
      <c r="A473" s="72" t="s">
        <v>70</v>
      </c>
      <c r="B473" s="8"/>
      <c r="C473" s="76"/>
      <c r="D473" s="8" t="str">
        <f t="shared" si="115"/>
        <v/>
      </c>
      <c r="E473" s="8" t="str" cm="1">
        <f t="array" ref="E473">GetColorMatchValue(C473, $C$3:$C$10)</f>
        <v/>
      </c>
      <c r="F473" s="88" t="str">
        <f>"&lt;tr&gt;&lt;th colspan=""3""&gt;"&amp;A473&amp;"&lt;/th&gt;&lt;/tr&gt;"</f>
        <v>&lt;tr&gt;&lt;th colspan="3"&gt;Power Clean + Jerk&lt;/th&gt;&lt;/tr&gt;</v>
      </c>
      <c r="H473" s="62"/>
      <c r="I473" s="62"/>
      <c r="K473" s="62"/>
      <c r="L473" s="62"/>
    </row>
    <row r="474" spans="1:12" ht="15" customHeight="1" x14ac:dyDescent="0.25">
      <c r="A474" s="71" t="s">
        <v>126</v>
      </c>
      <c r="B474" s="7">
        <v>0.6</v>
      </c>
      <c r="C474" s="82">
        <f t="shared" ref="C474:C475" si="122">$B$8*B474</f>
        <v>69</v>
      </c>
      <c r="D474" s="8">
        <f t="shared" si="115"/>
        <v>60</v>
      </c>
      <c r="E474" s="8" t="str" cm="1">
        <f t="array" ref="E474">GetColorMatchValue(C474, $C$3:$C$10)</f>
        <v>cj</v>
      </c>
      <c r="F474" s="88" t="str">
        <f t="shared" ref="F474:F475" si="123">"&lt;tr&gt;&lt;td&gt;"&amp;A474&amp;"&lt;/td&gt;&lt;td&gt;"&amp;D474&amp;"%&lt;/td&gt;&lt;td&gt;${percent("&amp;E474&amp;", "&amp;D474&amp;")}&lt;/td&gt;&lt;/tr&gt;"</f>
        <v>&lt;tr&gt;&lt;td&gt;1 Set of 3 P.Cl. + 1 Jr. &lt;/td&gt;&lt;td&gt;60%&lt;/td&gt;&lt;td&gt;${percent(cj, 60)}&lt;/td&gt;&lt;/tr&gt;</v>
      </c>
      <c r="H474" s="62"/>
      <c r="I474" s="62"/>
      <c r="K474" s="62"/>
      <c r="L474" s="62"/>
    </row>
    <row r="475" spans="1:12" ht="15" customHeight="1" x14ac:dyDescent="0.25">
      <c r="A475" s="71" t="s">
        <v>127</v>
      </c>
      <c r="B475" s="7">
        <v>0.7</v>
      </c>
      <c r="C475" s="82">
        <f t="shared" si="122"/>
        <v>80.5</v>
      </c>
      <c r="D475" s="8">
        <f t="shared" si="115"/>
        <v>70</v>
      </c>
      <c r="E475" s="8" t="str" cm="1">
        <f t="array" ref="E475">GetColorMatchValue(C475, $C$3:$C$10)</f>
        <v>cj</v>
      </c>
      <c r="F475" s="88" t="str">
        <f t="shared" si="123"/>
        <v>&lt;tr&gt;&lt;td&gt;3 Sets of 3 P.Cl. + 1 Jr. &lt;/td&gt;&lt;td&gt;70%&lt;/td&gt;&lt;td&gt;${percent(cj, 70)}&lt;/td&gt;&lt;/tr&gt;</v>
      </c>
      <c r="H475" s="62"/>
      <c r="I475" s="62"/>
      <c r="K475" s="62"/>
      <c r="L475" s="62"/>
    </row>
    <row r="476" spans="1:12" ht="15" customHeight="1" x14ac:dyDescent="0.25">
      <c r="A476" s="71"/>
      <c r="B476" s="8"/>
      <c r="C476" s="76"/>
      <c r="D476" s="8" t="str">
        <f t="shared" si="115"/>
        <v/>
      </c>
      <c r="E476" s="8" t="str" cm="1">
        <f t="array" ref="E476">GetColorMatchValue(C476, $C$3:$C$10)</f>
        <v/>
      </c>
      <c r="F476" s="89" t="s">
        <v>193</v>
      </c>
      <c r="H476" s="62"/>
      <c r="I476" s="62"/>
      <c r="K476" s="62"/>
      <c r="L476" s="62"/>
    </row>
    <row r="477" spans="1:12" ht="15" customHeight="1" x14ac:dyDescent="0.25">
      <c r="A477" s="72" t="s">
        <v>89</v>
      </c>
      <c r="B477" s="8"/>
      <c r="C477" s="76"/>
      <c r="D477" s="8" t="str">
        <f t="shared" si="115"/>
        <v/>
      </c>
      <c r="E477" s="8" t="str" cm="1">
        <f t="array" ref="E477">GetColorMatchValue(C477, $C$3:$C$10)</f>
        <v/>
      </c>
      <c r="F477" s="88" t="str">
        <f>"&lt;tr&gt;&lt;th colspan=""3""&gt;"&amp;A477&amp;"&lt;/th&gt;&lt;/tr&gt;"</f>
        <v>&lt;tr&gt;&lt;th colspan="3"&gt;Clean Pull &lt;/th&gt;&lt;/tr&gt;</v>
      </c>
      <c r="H477" s="62"/>
      <c r="I477" s="62"/>
      <c r="K477" s="62"/>
      <c r="L477" s="62"/>
    </row>
    <row r="478" spans="1:12" ht="15" customHeight="1" x14ac:dyDescent="0.25">
      <c r="A478" s="71" t="s">
        <v>128</v>
      </c>
      <c r="B478" s="7">
        <v>0.9</v>
      </c>
      <c r="C478" s="80">
        <f>$B$6*B478</f>
        <v>99</v>
      </c>
      <c r="D478" s="8">
        <f t="shared" si="115"/>
        <v>90</v>
      </c>
      <c r="E478" s="8" t="str" cm="1">
        <f t="array" ref="E478">GetColorMatchValue(C478, $C$3:$C$10)</f>
        <v>c</v>
      </c>
      <c r="F478" s="88" t="str">
        <f t="shared" ref="F478" si="124">"&lt;tr&gt;&lt;td&gt;"&amp;A478&amp;"&lt;/td&gt;&lt;td&gt;"&amp;D478&amp;"%&lt;/td&gt;&lt;td&gt;${percent("&amp;E478&amp;", "&amp;D478&amp;")}&lt;/td&gt;&lt;/tr&gt;"</f>
        <v>&lt;tr&gt;&lt;td&gt;4 Sets of 2 Reps &lt;/td&gt;&lt;td&gt;90%&lt;/td&gt;&lt;td&gt;${percent(c, 90)}&lt;/td&gt;&lt;/tr&gt;</v>
      </c>
      <c r="H478" s="62"/>
      <c r="I478" s="62"/>
      <c r="K478" s="62"/>
      <c r="L478" s="62"/>
    </row>
    <row r="479" spans="1:12" ht="15" customHeight="1" x14ac:dyDescent="0.25">
      <c r="A479" s="71"/>
      <c r="B479" s="8"/>
      <c r="C479" s="76"/>
      <c r="D479" s="8" t="str">
        <f t="shared" si="115"/>
        <v/>
      </c>
      <c r="E479" s="8" t="str" cm="1">
        <f t="array" ref="E479">GetColorMatchValue(C479, $C$3:$C$10)</f>
        <v/>
      </c>
      <c r="F479" s="89" t="s">
        <v>193</v>
      </c>
      <c r="H479" s="62"/>
      <c r="I479" s="62"/>
      <c r="K479" s="62"/>
      <c r="L479" s="62"/>
    </row>
    <row r="480" spans="1:12" ht="15" customHeight="1" x14ac:dyDescent="0.25">
      <c r="A480" s="72" t="s">
        <v>27</v>
      </c>
      <c r="B480" s="8"/>
      <c r="C480" s="76"/>
      <c r="D480" s="8" t="str">
        <f t="shared" si="115"/>
        <v/>
      </c>
      <c r="E480" s="8" t="str" cm="1">
        <f t="array" ref="E480">GetColorMatchValue(C480, $C$3:$C$10)</f>
        <v/>
      </c>
      <c r="F480" s="88" t="str">
        <f>"&lt;tr&gt;&lt;th colspan=""3""&gt;"&amp;A480&amp;"&lt;/th&gt;&lt;/tr&gt;"</f>
        <v>&lt;tr&gt;&lt;th colspan="3"&gt;Abdominals&lt;/th&gt;&lt;/tr&gt;</v>
      </c>
      <c r="H480" s="62"/>
      <c r="I480" s="62"/>
      <c r="K480" s="62"/>
      <c r="L480" s="62"/>
    </row>
    <row r="481" spans="1:12" ht="15" customHeight="1" x14ac:dyDescent="0.25">
      <c r="A481" s="71" t="s">
        <v>205</v>
      </c>
      <c r="B481" s="8" t="s">
        <v>195</v>
      </c>
      <c r="C481" s="76"/>
      <c r="D481" s="8" t="str">
        <f t="shared" si="115"/>
        <v/>
      </c>
      <c r="E481" s="8" t="str" cm="1">
        <f t="array" ref="E481">GetColorMatchValue(C481, $C$3:$C$10)</f>
        <v/>
      </c>
      <c r="F481" s="88" t="str">
        <f>"&lt;tr&gt;&lt;td colspan=""3""&gt;"&amp;A481&amp;" "&amp;B481&amp;"&lt;/td&gt;&lt;/tr&gt;"</f>
        <v>&lt;tr&gt;&lt;td colspan="3"&gt;4 Sets of 30 Reps Athlete's choice on exercise selection.&lt;/td&gt;&lt;/tr&gt;</v>
      </c>
      <c r="H481" s="62"/>
      <c r="I481" s="62"/>
      <c r="K481" s="62"/>
      <c r="L481" s="62"/>
    </row>
    <row r="482" spans="1:12" ht="15" customHeight="1" x14ac:dyDescent="0.25">
      <c r="A482" s="90" t="s">
        <v>67</v>
      </c>
      <c r="B482" s="74" t="s">
        <v>93</v>
      </c>
      <c r="C482" s="75" t="s">
        <v>94</v>
      </c>
      <c r="D482" s="74" t="s">
        <v>192</v>
      </c>
      <c r="E482" s="75" t="s">
        <v>190</v>
      </c>
      <c r="F482" s="91" t="s">
        <v>191</v>
      </c>
      <c r="H482" s="62"/>
      <c r="I482" s="62"/>
      <c r="L482" s="45"/>
    </row>
    <row r="483" spans="1:12" ht="15" customHeight="1" x14ac:dyDescent="0.25">
      <c r="A483" s="72" t="s">
        <v>34</v>
      </c>
      <c r="B483" s="8"/>
      <c r="C483" s="76"/>
      <c r="D483" s="8" t="str">
        <f t="shared" si="115"/>
        <v/>
      </c>
      <c r="E483" s="8" t="str" cm="1">
        <f t="array" ref="E483">GetColorMatchValue(C483, $C$3:$C$10)</f>
        <v/>
      </c>
      <c r="F483" s="88" t="str">
        <f>"&lt;tr&gt;&lt;th colspan=""3""&gt;"&amp;A483&amp;"&lt;/th&gt;&lt;/tr&gt;"</f>
        <v>&lt;tr&gt;&lt;th colspan="3"&gt;Front Squat&lt;/th&gt;&lt;/tr&gt;</v>
      </c>
      <c r="H483" s="62"/>
      <c r="I483" s="62"/>
      <c r="L483" s="45"/>
    </row>
    <row r="484" spans="1:12" ht="15" customHeight="1" x14ac:dyDescent="0.25">
      <c r="A484" s="71" t="s">
        <v>105</v>
      </c>
      <c r="B484" s="7">
        <v>0.6</v>
      </c>
      <c r="C484" s="84">
        <f t="shared" ref="C484:C489" si="125">$B$4*B484</f>
        <v>84</v>
      </c>
      <c r="D484" s="8">
        <f t="shared" si="115"/>
        <v>60</v>
      </c>
      <c r="E484" s="8" t="str" cm="1">
        <f t="array" ref="E484">GetColorMatchValue(C484, $C$3:$C$10)</f>
        <v>fs</v>
      </c>
      <c r="F484" s="88" t="str">
        <f t="shared" ref="F484:F489" si="126">"&lt;tr&gt;&lt;td&gt;"&amp;A484&amp;"&lt;/td&gt;&lt;td&gt;"&amp;D484&amp;"%&lt;/td&gt;&lt;td&gt;${percent("&amp;E484&amp;", "&amp;D484&amp;")}&lt;/td&gt;&lt;/tr&gt;"</f>
        <v>&lt;tr&gt;&lt;td&gt;1 Set of 4 Reps &lt;/td&gt;&lt;td&gt;60%&lt;/td&gt;&lt;td&gt;${percent(fs, 60)}&lt;/td&gt;&lt;/tr&gt;</v>
      </c>
      <c r="H484" s="62"/>
      <c r="I484" s="62"/>
      <c r="L484" s="45"/>
    </row>
    <row r="485" spans="1:12" ht="15" customHeight="1" x14ac:dyDescent="0.25">
      <c r="A485" s="71" t="s">
        <v>105</v>
      </c>
      <c r="B485" s="7">
        <v>0.7</v>
      </c>
      <c r="C485" s="84">
        <f t="shared" si="125"/>
        <v>98</v>
      </c>
      <c r="D485" s="8">
        <f t="shared" si="115"/>
        <v>70</v>
      </c>
      <c r="E485" s="8" t="str" cm="1">
        <f t="array" ref="E485">GetColorMatchValue(C485, $C$3:$C$10)</f>
        <v>fs</v>
      </c>
      <c r="F485" s="88" t="str">
        <f t="shared" si="126"/>
        <v>&lt;tr&gt;&lt;td&gt;1 Set of 4 Reps &lt;/td&gt;&lt;td&gt;70%&lt;/td&gt;&lt;td&gt;${percent(fs, 70)}&lt;/td&gt;&lt;/tr&gt;</v>
      </c>
      <c r="H485" s="62"/>
      <c r="I485" s="62"/>
      <c r="L485" s="45"/>
    </row>
    <row r="486" spans="1:12" ht="15" customHeight="1" x14ac:dyDescent="0.25">
      <c r="A486" s="71" t="s">
        <v>105</v>
      </c>
      <c r="B486" s="7">
        <v>0.8</v>
      </c>
      <c r="C486" s="84">
        <f t="shared" si="125"/>
        <v>112</v>
      </c>
      <c r="D486" s="8">
        <f t="shared" si="115"/>
        <v>80</v>
      </c>
      <c r="E486" s="8" t="str" cm="1">
        <f t="array" ref="E486">GetColorMatchValue(C486, $C$3:$C$10)</f>
        <v>fs</v>
      </c>
      <c r="F486" s="88" t="str">
        <f t="shared" si="126"/>
        <v>&lt;tr&gt;&lt;td&gt;1 Set of 4 Reps &lt;/td&gt;&lt;td&gt;80%&lt;/td&gt;&lt;td&gt;${percent(fs, 80)}&lt;/td&gt;&lt;/tr&gt;</v>
      </c>
      <c r="H486" s="62"/>
      <c r="I486" s="62"/>
      <c r="L486" s="45"/>
    </row>
    <row r="487" spans="1:12" ht="15" customHeight="1" x14ac:dyDescent="0.25">
      <c r="A487" s="71" t="s">
        <v>105</v>
      </c>
      <c r="B487" s="7">
        <v>0.85</v>
      </c>
      <c r="C487" s="84">
        <f t="shared" si="125"/>
        <v>119</v>
      </c>
      <c r="D487" s="8">
        <f t="shared" si="115"/>
        <v>85</v>
      </c>
      <c r="E487" s="8" t="str" cm="1">
        <f t="array" ref="E487">GetColorMatchValue(C487, $C$3:$C$10)</f>
        <v>fs</v>
      </c>
      <c r="F487" s="88" t="str">
        <f t="shared" si="126"/>
        <v>&lt;tr&gt;&lt;td&gt;1 Set of 4 Reps &lt;/td&gt;&lt;td&gt;85%&lt;/td&gt;&lt;td&gt;${percent(fs, 85)}&lt;/td&gt;&lt;/tr&gt;</v>
      </c>
      <c r="H487" s="62"/>
      <c r="I487" s="62"/>
      <c r="L487" s="45"/>
    </row>
    <row r="488" spans="1:12" ht="15" customHeight="1" x14ac:dyDescent="0.25">
      <c r="A488" s="71" t="s">
        <v>105</v>
      </c>
      <c r="B488" s="7">
        <v>0.8</v>
      </c>
      <c r="C488" s="84">
        <f t="shared" si="125"/>
        <v>112</v>
      </c>
      <c r="D488" s="8">
        <f t="shared" si="115"/>
        <v>80</v>
      </c>
      <c r="E488" s="8" t="str" cm="1">
        <f t="array" ref="E488">GetColorMatchValue(C488, $C$3:$C$10)</f>
        <v>fs</v>
      </c>
      <c r="F488" s="88" t="str">
        <f t="shared" si="126"/>
        <v>&lt;tr&gt;&lt;td&gt;1 Set of 4 Reps &lt;/td&gt;&lt;td&gt;80%&lt;/td&gt;&lt;td&gt;${percent(fs, 80)}&lt;/td&gt;&lt;/tr&gt;</v>
      </c>
      <c r="H488" s="62"/>
      <c r="I488" s="62"/>
      <c r="L488" s="45"/>
    </row>
    <row r="489" spans="1:12" ht="15" customHeight="1" x14ac:dyDescent="0.25">
      <c r="A489" s="71" t="s">
        <v>105</v>
      </c>
      <c r="B489" s="7">
        <v>0.85</v>
      </c>
      <c r="C489" s="84">
        <f t="shared" si="125"/>
        <v>119</v>
      </c>
      <c r="D489" s="8">
        <f t="shared" si="115"/>
        <v>85</v>
      </c>
      <c r="E489" s="8" t="str" cm="1">
        <f t="array" ref="E489">GetColorMatchValue(C489, $C$3:$C$10)</f>
        <v>fs</v>
      </c>
      <c r="F489" s="88" t="str">
        <f t="shared" si="126"/>
        <v>&lt;tr&gt;&lt;td&gt;1 Set of 4 Reps &lt;/td&gt;&lt;td&gt;85%&lt;/td&gt;&lt;td&gt;${percent(fs, 85)}&lt;/td&gt;&lt;/tr&gt;</v>
      </c>
      <c r="H489" s="62"/>
      <c r="I489" s="62"/>
      <c r="L489" s="45"/>
    </row>
    <row r="490" spans="1:12" ht="15" customHeight="1" x14ac:dyDescent="0.25">
      <c r="A490" s="71"/>
      <c r="B490" s="8"/>
      <c r="C490" s="76"/>
      <c r="D490" s="8" t="str">
        <f t="shared" si="115"/>
        <v/>
      </c>
      <c r="E490" s="8" t="str" cm="1">
        <f t="array" ref="E490">GetColorMatchValue(C490, $C$3:$C$10)</f>
        <v/>
      </c>
      <c r="F490" s="89" t="s">
        <v>193</v>
      </c>
      <c r="H490" s="62"/>
      <c r="I490" s="62"/>
      <c r="L490" s="45"/>
    </row>
    <row r="491" spans="1:12" ht="15" customHeight="1" x14ac:dyDescent="0.25">
      <c r="A491" s="72" t="s">
        <v>42</v>
      </c>
      <c r="B491" s="8"/>
      <c r="C491" s="76"/>
      <c r="D491" s="8" t="str">
        <f t="shared" si="115"/>
        <v/>
      </c>
      <c r="E491" s="8" t="str" cm="1">
        <f t="array" ref="E491">GetColorMatchValue(C491, $C$3:$C$10)</f>
        <v/>
      </c>
      <c r="F491" s="88" t="str">
        <f>"&lt;tr&gt;&lt;th colspan=""3""&gt;"&amp;A491&amp;"&lt;/th&gt;&lt;/tr&gt;"</f>
        <v>&lt;tr&gt;&lt;th colspan="3"&gt;Snatch&lt;/th&gt;&lt;/tr&gt;</v>
      </c>
      <c r="H491" s="62"/>
      <c r="I491" s="62"/>
      <c r="L491" s="45"/>
    </row>
    <row r="492" spans="1:12" ht="15" customHeight="1" x14ac:dyDescent="0.25">
      <c r="A492" s="71" t="s">
        <v>113</v>
      </c>
      <c r="B492" s="7">
        <v>0.6</v>
      </c>
      <c r="C492" s="78">
        <f t="shared" ref="C492:C496" si="127">$B$7*B492</f>
        <v>57</v>
      </c>
      <c r="D492" s="8">
        <f t="shared" si="115"/>
        <v>60</v>
      </c>
      <c r="E492" s="8" t="str" cm="1">
        <f t="array" ref="E492">GetColorMatchValue(C492, $C$3:$C$10)</f>
        <v>s</v>
      </c>
      <c r="F492" s="88" t="str">
        <f t="shared" ref="F492:F496" si="128">"&lt;tr&gt;&lt;td&gt;"&amp;A492&amp;"&lt;/td&gt;&lt;td&gt;"&amp;D492&amp;"%&lt;/td&gt;&lt;td&gt;${percent("&amp;E492&amp;", "&amp;D492&amp;")}&lt;/td&gt;&lt;/tr&gt;"</f>
        <v>&lt;tr&gt;&lt;td&gt;1 Set of 2 Reps &lt;/td&gt;&lt;td&gt;60%&lt;/td&gt;&lt;td&gt;${percent(s, 60)}&lt;/td&gt;&lt;/tr&gt;</v>
      </c>
      <c r="H492" s="62"/>
      <c r="I492" s="62"/>
      <c r="L492" s="45"/>
    </row>
    <row r="493" spans="1:12" ht="15" customHeight="1" x14ac:dyDescent="0.25">
      <c r="A493" s="71" t="s">
        <v>113</v>
      </c>
      <c r="B493" s="7">
        <v>0.7</v>
      </c>
      <c r="C493" s="78">
        <f t="shared" si="127"/>
        <v>66.5</v>
      </c>
      <c r="D493" s="8">
        <f t="shared" si="115"/>
        <v>70</v>
      </c>
      <c r="E493" s="8" t="str" cm="1">
        <f t="array" ref="E493">GetColorMatchValue(C493, $C$3:$C$10)</f>
        <v>s</v>
      </c>
      <c r="F493" s="88" t="str">
        <f t="shared" si="128"/>
        <v>&lt;tr&gt;&lt;td&gt;1 Set of 2 Reps &lt;/td&gt;&lt;td&gt;70%&lt;/td&gt;&lt;td&gt;${percent(s, 70)}&lt;/td&gt;&lt;/tr&gt;</v>
      </c>
      <c r="H493" s="62"/>
      <c r="I493" s="62"/>
      <c r="L493" s="45"/>
    </row>
    <row r="494" spans="1:12" ht="15" customHeight="1" x14ac:dyDescent="0.25">
      <c r="A494" s="71" t="s">
        <v>113</v>
      </c>
      <c r="B494" s="7">
        <v>0.8</v>
      </c>
      <c r="C494" s="78">
        <f t="shared" si="127"/>
        <v>76</v>
      </c>
      <c r="D494" s="8">
        <f t="shared" si="115"/>
        <v>80</v>
      </c>
      <c r="E494" s="8" t="str" cm="1">
        <f t="array" ref="E494">GetColorMatchValue(C494, $C$3:$C$10)</f>
        <v>s</v>
      </c>
      <c r="F494" s="88" t="str">
        <f t="shared" si="128"/>
        <v>&lt;tr&gt;&lt;td&gt;1 Set of 2 Reps &lt;/td&gt;&lt;td&gt;80%&lt;/td&gt;&lt;td&gt;${percent(s, 80)}&lt;/td&gt;&lt;/tr&gt;</v>
      </c>
      <c r="H494" s="62"/>
      <c r="I494" s="62"/>
      <c r="L494" s="45"/>
    </row>
    <row r="495" spans="1:12" ht="15" customHeight="1" x14ac:dyDescent="0.25">
      <c r="A495" s="71" t="s">
        <v>98</v>
      </c>
      <c r="B495" s="7">
        <v>0.85</v>
      </c>
      <c r="C495" s="78">
        <f t="shared" si="127"/>
        <v>80.75</v>
      </c>
      <c r="D495" s="8">
        <f t="shared" si="115"/>
        <v>85</v>
      </c>
      <c r="E495" s="8" t="str" cm="1">
        <f t="array" ref="E495">GetColorMatchValue(C495, $C$3:$C$10)</f>
        <v>s</v>
      </c>
      <c r="F495" s="88" t="str">
        <f t="shared" si="128"/>
        <v>&lt;tr&gt;&lt;td&gt;1 Set of 1 Rep &lt;/td&gt;&lt;td&gt;85%&lt;/td&gt;&lt;td&gt;${percent(s, 85)}&lt;/td&gt;&lt;/tr&gt;</v>
      </c>
      <c r="H495" s="62"/>
      <c r="I495" s="62"/>
      <c r="L495" s="45"/>
    </row>
    <row r="496" spans="1:12" ht="15" customHeight="1" x14ac:dyDescent="0.25">
      <c r="A496" s="71" t="s">
        <v>124</v>
      </c>
      <c r="B496" s="7">
        <v>0.8</v>
      </c>
      <c r="C496" s="78">
        <f t="shared" si="127"/>
        <v>76</v>
      </c>
      <c r="D496" s="8">
        <f t="shared" si="115"/>
        <v>80</v>
      </c>
      <c r="E496" s="8" t="str" cm="1">
        <f t="array" ref="E496">GetColorMatchValue(C496, $C$3:$C$10)</f>
        <v>s</v>
      </c>
      <c r="F496" s="88" t="str">
        <f t="shared" si="128"/>
        <v>&lt;tr&gt;&lt;td&gt;3 Sets of 3 Reps &lt;/td&gt;&lt;td&gt;80%&lt;/td&gt;&lt;td&gt;${percent(s, 80)}&lt;/td&gt;&lt;/tr&gt;</v>
      </c>
      <c r="H496" s="62"/>
      <c r="I496" s="62"/>
      <c r="L496" s="45"/>
    </row>
    <row r="497" spans="1:12" ht="15" customHeight="1" x14ac:dyDescent="0.25">
      <c r="A497" s="71"/>
      <c r="B497" s="8"/>
      <c r="C497" s="76"/>
      <c r="D497" s="8" t="str">
        <f t="shared" si="115"/>
        <v/>
      </c>
      <c r="E497" s="8" t="str" cm="1">
        <f t="array" ref="E497">GetColorMatchValue(C497, $C$3:$C$10)</f>
        <v/>
      </c>
      <c r="F497" s="89" t="s">
        <v>193</v>
      </c>
      <c r="H497" s="62"/>
      <c r="I497" s="62"/>
      <c r="L497" s="45"/>
    </row>
    <row r="498" spans="1:12" ht="15" customHeight="1" x14ac:dyDescent="0.25">
      <c r="A498" s="72" t="s">
        <v>43</v>
      </c>
      <c r="B498" s="8"/>
      <c r="C498" s="76"/>
      <c r="D498" s="8" t="str">
        <f t="shared" si="115"/>
        <v/>
      </c>
      <c r="E498" s="8" t="str" cm="1">
        <f t="array" ref="E498">GetColorMatchValue(C498, $C$3:$C$10)</f>
        <v/>
      </c>
      <c r="F498" s="88" t="str">
        <f>"&lt;tr&gt;&lt;th colspan=""3""&gt;"&amp;A498&amp;"&lt;/th&gt;&lt;/tr&gt;"</f>
        <v>&lt;tr&gt;&lt;th colspan="3"&gt;Clean + Jerk&lt;/th&gt;&lt;/tr&gt;</v>
      </c>
      <c r="H498" s="62"/>
      <c r="I498" s="62"/>
      <c r="L498" s="45"/>
    </row>
    <row r="499" spans="1:12" ht="15" customHeight="1" x14ac:dyDescent="0.25">
      <c r="A499" s="71" t="s">
        <v>144</v>
      </c>
      <c r="B499" s="7">
        <v>0.6</v>
      </c>
      <c r="C499" s="82">
        <f t="shared" ref="C499:C503" si="129">$B$8*B499</f>
        <v>69</v>
      </c>
      <c r="D499" s="8">
        <f t="shared" si="115"/>
        <v>60</v>
      </c>
      <c r="E499" s="8" t="str" cm="1">
        <f t="array" ref="E499">GetColorMatchValue(C499, $C$3:$C$10)</f>
        <v>cj</v>
      </c>
      <c r="F499" s="88" t="str">
        <f t="shared" ref="F499:F503" si="130">"&lt;tr&gt;&lt;td&gt;"&amp;A499&amp;"&lt;/td&gt;&lt;td&gt;"&amp;D499&amp;"%&lt;/td&gt;&lt;td&gt;${percent("&amp;E499&amp;", "&amp;D499&amp;")}&lt;/td&gt;&lt;/tr&gt;"</f>
        <v>&lt;tr&gt;&lt;td&gt;1 Set of 2 Cl. + 1 Jr. &lt;/td&gt;&lt;td&gt;60%&lt;/td&gt;&lt;td&gt;${percent(cj, 60)}&lt;/td&gt;&lt;/tr&gt;</v>
      </c>
      <c r="H499" s="62"/>
      <c r="I499" s="62"/>
      <c r="L499" s="45"/>
    </row>
    <row r="500" spans="1:12" ht="15" customHeight="1" x14ac:dyDescent="0.25">
      <c r="A500" s="71" t="s">
        <v>144</v>
      </c>
      <c r="B500" s="7">
        <v>0.7</v>
      </c>
      <c r="C500" s="82">
        <f t="shared" si="129"/>
        <v>80.5</v>
      </c>
      <c r="D500" s="8">
        <f t="shared" si="115"/>
        <v>70</v>
      </c>
      <c r="E500" s="8" t="str" cm="1">
        <f t="array" ref="E500">GetColorMatchValue(C500, $C$3:$C$10)</f>
        <v>cj</v>
      </c>
      <c r="F500" s="88" t="str">
        <f t="shared" si="130"/>
        <v>&lt;tr&gt;&lt;td&gt;1 Set of 2 Cl. + 1 Jr. &lt;/td&gt;&lt;td&gt;70%&lt;/td&gt;&lt;td&gt;${percent(cj, 70)}&lt;/td&gt;&lt;/tr&gt;</v>
      </c>
      <c r="H500" s="62"/>
      <c r="I500" s="62"/>
      <c r="L500" s="45"/>
    </row>
    <row r="501" spans="1:12" ht="15" customHeight="1" x14ac:dyDescent="0.25">
      <c r="A501" s="71" t="s">
        <v>144</v>
      </c>
      <c r="B501" s="7">
        <v>0.8</v>
      </c>
      <c r="C501" s="82">
        <f t="shared" si="129"/>
        <v>92</v>
      </c>
      <c r="D501" s="8">
        <f t="shared" si="115"/>
        <v>80</v>
      </c>
      <c r="E501" s="8" t="str" cm="1">
        <f t="array" ref="E501">GetColorMatchValue(C501, $C$3:$C$10)</f>
        <v>cj</v>
      </c>
      <c r="F501" s="88" t="str">
        <f t="shared" si="130"/>
        <v>&lt;tr&gt;&lt;td&gt;1 Set of 2 Cl. + 1 Jr. &lt;/td&gt;&lt;td&gt;80%&lt;/td&gt;&lt;td&gt;${percent(cj, 80)}&lt;/td&gt;&lt;/tr&gt;</v>
      </c>
      <c r="H501" s="62"/>
      <c r="I501" s="62"/>
      <c r="L501" s="45"/>
    </row>
    <row r="502" spans="1:12" ht="15" customHeight="1" x14ac:dyDescent="0.25">
      <c r="A502" s="71" t="s">
        <v>144</v>
      </c>
      <c r="B502" s="7">
        <v>0.85</v>
      </c>
      <c r="C502" s="82">
        <f t="shared" si="129"/>
        <v>97.75</v>
      </c>
      <c r="D502" s="8">
        <f t="shared" si="115"/>
        <v>85</v>
      </c>
      <c r="E502" s="8" t="str" cm="1">
        <f t="array" ref="E502">GetColorMatchValue(C502, $C$3:$C$10)</f>
        <v>cj</v>
      </c>
      <c r="F502" s="88" t="str">
        <f t="shared" si="130"/>
        <v>&lt;tr&gt;&lt;td&gt;1 Set of 2 Cl. + 1 Jr. &lt;/td&gt;&lt;td&gt;85%&lt;/td&gt;&lt;td&gt;${percent(cj, 85)}&lt;/td&gt;&lt;/tr&gt;</v>
      </c>
      <c r="H502" s="62"/>
      <c r="I502" s="62"/>
      <c r="L502" s="45"/>
    </row>
    <row r="503" spans="1:12" ht="15" customHeight="1" x14ac:dyDescent="0.25">
      <c r="A503" s="71" t="s">
        <v>145</v>
      </c>
      <c r="B503" s="7">
        <v>0.8</v>
      </c>
      <c r="C503" s="82">
        <f t="shared" si="129"/>
        <v>92</v>
      </c>
      <c r="D503" s="8">
        <f t="shared" si="115"/>
        <v>80</v>
      </c>
      <c r="E503" s="8" t="str" cm="1">
        <f t="array" ref="E503">GetColorMatchValue(C503, $C$3:$C$10)</f>
        <v>cj</v>
      </c>
      <c r="F503" s="88" t="str">
        <f t="shared" si="130"/>
        <v>&lt;tr&gt;&lt;td&gt;3 Sets of 3 Cl. + 1 Jr. &lt;/td&gt;&lt;td&gt;80%&lt;/td&gt;&lt;td&gt;${percent(cj, 80)}&lt;/td&gt;&lt;/tr&gt;</v>
      </c>
      <c r="H503" s="62"/>
      <c r="I503" s="62"/>
      <c r="L503" s="45"/>
    </row>
    <row r="504" spans="1:12" ht="15" customHeight="1" x14ac:dyDescent="0.25">
      <c r="A504" s="71"/>
      <c r="B504" s="8"/>
      <c r="C504" s="76"/>
      <c r="D504" s="8" t="str">
        <f t="shared" si="115"/>
        <v/>
      </c>
      <c r="E504" s="8" t="str" cm="1">
        <f t="array" ref="E504">GetColorMatchValue(C504, $C$3:$C$10)</f>
        <v/>
      </c>
      <c r="F504" s="89" t="s">
        <v>193</v>
      </c>
      <c r="H504" s="62"/>
      <c r="I504" s="62"/>
      <c r="L504" s="45"/>
    </row>
    <row r="505" spans="1:12" ht="15" customHeight="1" x14ac:dyDescent="0.25">
      <c r="A505" s="72" t="s">
        <v>90</v>
      </c>
      <c r="B505" s="8"/>
      <c r="C505" s="76"/>
      <c r="D505" s="8" t="str">
        <f t="shared" si="115"/>
        <v/>
      </c>
      <c r="E505" s="8" t="str" cm="1">
        <f t="array" ref="E505">GetColorMatchValue(C505, $C$3:$C$10)</f>
        <v/>
      </c>
      <c r="F505" s="88" t="str">
        <f>"&lt;tr&gt;&lt;th colspan=""3""&gt;"&amp;A505&amp;"&lt;/th&gt;&lt;/tr&gt;"</f>
        <v>&lt;tr&gt;&lt;th colspan="3"&gt;Snatch Pull from Blocks Below the Knee &lt;/th&gt;&lt;/tr&gt;</v>
      </c>
      <c r="H505" s="62"/>
      <c r="I505" s="62"/>
      <c r="L505" s="45"/>
    </row>
    <row r="506" spans="1:12" ht="15" customHeight="1" x14ac:dyDescent="0.25">
      <c r="A506" s="71" t="s">
        <v>105</v>
      </c>
      <c r="B506" s="7">
        <v>0.8</v>
      </c>
      <c r="C506" s="78">
        <f t="shared" ref="C506:C511" si="131">$B$7*B506</f>
        <v>76</v>
      </c>
      <c r="D506" s="8">
        <f t="shared" si="115"/>
        <v>80</v>
      </c>
      <c r="E506" s="8" t="str" cm="1">
        <f t="array" ref="E506">GetColorMatchValue(C506, $C$3:$C$10)</f>
        <v>s</v>
      </c>
      <c r="F506" s="88" t="str">
        <f t="shared" ref="F506:F511" si="132">"&lt;tr&gt;&lt;td&gt;"&amp;A506&amp;"&lt;/td&gt;&lt;td&gt;"&amp;D506&amp;"%&lt;/td&gt;&lt;td&gt;${percent("&amp;E506&amp;", "&amp;D506&amp;")}&lt;/td&gt;&lt;/tr&gt;"</f>
        <v>&lt;tr&gt;&lt;td&gt;1 Set of 4 Reps &lt;/td&gt;&lt;td&gt;80%&lt;/td&gt;&lt;td&gt;${percent(s, 80)}&lt;/td&gt;&lt;/tr&gt;</v>
      </c>
      <c r="H506" s="62"/>
      <c r="I506" s="62"/>
      <c r="L506" s="45"/>
    </row>
    <row r="507" spans="1:12" ht="15" customHeight="1" x14ac:dyDescent="0.25">
      <c r="A507" s="71" t="s">
        <v>95</v>
      </c>
      <c r="B507" s="7">
        <v>0.9</v>
      </c>
      <c r="C507" s="78">
        <f t="shared" si="131"/>
        <v>85.5</v>
      </c>
      <c r="D507" s="8">
        <f t="shared" si="115"/>
        <v>90</v>
      </c>
      <c r="E507" s="8" t="str" cm="1">
        <f t="array" ref="E507">GetColorMatchValue(C507, $C$3:$C$10)</f>
        <v>s</v>
      </c>
      <c r="F507" s="88" t="str">
        <f t="shared" si="132"/>
        <v>&lt;tr&gt;&lt;td&gt;1 Set of 3 Reps &lt;/td&gt;&lt;td&gt;90%&lt;/td&gt;&lt;td&gt;${percent(s, 90)}&lt;/td&gt;&lt;/tr&gt;</v>
      </c>
      <c r="H507" s="62"/>
      <c r="I507" s="62"/>
      <c r="L507" s="45"/>
    </row>
    <row r="508" spans="1:12" ht="15" customHeight="1" x14ac:dyDescent="0.25">
      <c r="A508" s="71" t="s">
        <v>105</v>
      </c>
      <c r="B508" s="7">
        <v>0.8</v>
      </c>
      <c r="C508" s="78">
        <f t="shared" si="131"/>
        <v>76</v>
      </c>
      <c r="D508" s="8">
        <f t="shared" si="115"/>
        <v>80</v>
      </c>
      <c r="E508" s="8" t="str" cm="1">
        <f t="array" ref="E508">GetColorMatchValue(C508, $C$3:$C$10)</f>
        <v>s</v>
      </c>
      <c r="F508" s="88" t="str">
        <f t="shared" si="132"/>
        <v>&lt;tr&gt;&lt;td&gt;1 Set of 4 Reps &lt;/td&gt;&lt;td&gt;80%&lt;/td&gt;&lt;td&gt;${percent(s, 80)}&lt;/td&gt;&lt;/tr&gt;</v>
      </c>
      <c r="H508" s="62"/>
      <c r="I508" s="62"/>
      <c r="L508" s="45"/>
    </row>
    <row r="509" spans="1:12" ht="15" customHeight="1" x14ac:dyDescent="0.25">
      <c r="A509" s="71" t="s">
        <v>95</v>
      </c>
      <c r="B509" s="7">
        <v>0.9</v>
      </c>
      <c r="C509" s="78">
        <f t="shared" si="131"/>
        <v>85.5</v>
      </c>
      <c r="D509" s="8">
        <f t="shared" si="115"/>
        <v>90</v>
      </c>
      <c r="E509" s="8" t="str" cm="1">
        <f t="array" ref="E509">GetColorMatchValue(C509, $C$3:$C$10)</f>
        <v>s</v>
      </c>
      <c r="F509" s="88" t="str">
        <f t="shared" si="132"/>
        <v>&lt;tr&gt;&lt;td&gt;1 Set of 3 Reps &lt;/td&gt;&lt;td&gt;90%&lt;/td&gt;&lt;td&gt;${percent(s, 90)}&lt;/td&gt;&lt;/tr&gt;</v>
      </c>
      <c r="H509" s="62"/>
      <c r="I509" s="62"/>
      <c r="L509" s="45"/>
    </row>
    <row r="510" spans="1:12" ht="15" customHeight="1" x14ac:dyDescent="0.25">
      <c r="A510" s="71" t="s">
        <v>105</v>
      </c>
      <c r="B510" s="7">
        <v>0.8</v>
      </c>
      <c r="C510" s="78">
        <f t="shared" si="131"/>
        <v>76</v>
      </c>
      <c r="D510" s="8">
        <f t="shared" si="115"/>
        <v>80</v>
      </c>
      <c r="E510" s="8" t="str" cm="1">
        <f t="array" ref="E510">GetColorMatchValue(C510, $C$3:$C$10)</f>
        <v>s</v>
      </c>
      <c r="F510" s="88" t="str">
        <f t="shared" si="132"/>
        <v>&lt;tr&gt;&lt;td&gt;1 Set of 4 Reps &lt;/td&gt;&lt;td&gt;80%&lt;/td&gt;&lt;td&gt;${percent(s, 80)}&lt;/td&gt;&lt;/tr&gt;</v>
      </c>
      <c r="H510" s="62"/>
      <c r="I510" s="62"/>
      <c r="L510" s="45"/>
    </row>
    <row r="511" spans="1:12" ht="15" customHeight="1" x14ac:dyDescent="0.25">
      <c r="A511" s="71" t="s">
        <v>95</v>
      </c>
      <c r="B511" s="7">
        <v>0.9</v>
      </c>
      <c r="C511" s="78">
        <f t="shared" si="131"/>
        <v>85.5</v>
      </c>
      <c r="D511" s="8">
        <f t="shared" ref="D511:D572" si="133">IF(ISNUMBER(B511), B511 * 100, "")</f>
        <v>90</v>
      </c>
      <c r="E511" s="8" t="str" cm="1">
        <f t="array" ref="E511">GetColorMatchValue(C511, $C$3:$C$10)</f>
        <v>s</v>
      </c>
      <c r="F511" s="88" t="str">
        <f t="shared" si="132"/>
        <v>&lt;tr&gt;&lt;td&gt;1 Set of 3 Reps &lt;/td&gt;&lt;td&gt;90%&lt;/td&gt;&lt;td&gt;${percent(s, 90)}&lt;/td&gt;&lt;/tr&gt;</v>
      </c>
      <c r="H511" s="62"/>
      <c r="I511" s="62"/>
      <c r="L511" s="45"/>
    </row>
    <row r="512" spans="1:12" ht="15" customHeight="1" x14ac:dyDescent="0.25">
      <c r="A512" s="71"/>
      <c r="B512" s="8"/>
      <c r="C512" s="76"/>
      <c r="D512" s="8" t="str">
        <f t="shared" si="133"/>
        <v/>
      </c>
      <c r="E512" s="8" t="str" cm="1">
        <f t="array" ref="E512">GetColorMatchValue(C512, $C$3:$C$10)</f>
        <v/>
      </c>
      <c r="F512" s="89" t="s">
        <v>193</v>
      </c>
      <c r="H512" s="62"/>
      <c r="I512" s="62"/>
      <c r="L512" s="45"/>
    </row>
    <row r="513" spans="1:12" ht="15" customHeight="1" x14ac:dyDescent="0.25">
      <c r="A513" s="72" t="s">
        <v>45</v>
      </c>
      <c r="B513" s="8"/>
      <c r="C513" s="76"/>
      <c r="D513" s="8" t="str">
        <f t="shared" si="133"/>
        <v/>
      </c>
      <c r="E513" s="8" t="str" cm="1">
        <f t="array" ref="E513">GetColorMatchValue(C513, $C$3:$C$10)</f>
        <v/>
      </c>
      <c r="F513" s="88" t="str">
        <f>"&lt;tr&gt;&lt;th colspan=""3""&gt;"&amp;A513&amp;"&lt;/th&gt;&lt;/tr&gt;"</f>
        <v>&lt;tr&gt;&lt;th colspan="3"&gt;Behind the Neck Push Jerk&lt;/th&gt;&lt;/tr&gt;</v>
      </c>
      <c r="H513" s="62"/>
      <c r="I513" s="62"/>
      <c r="L513" s="45"/>
    </row>
    <row r="514" spans="1:12" ht="15" customHeight="1" x14ac:dyDescent="0.25">
      <c r="A514" s="71" t="s">
        <v>105</v>
      </c>
      <c r="B514" s="7">
        <v>0.6</v>
      </c>
      <c r="C514" s="81">
        <f t="shared" ref="C514:C518" si="134">$B$10*B514</f>
        <v>48</v>
      </c>
      <c r="D514" s="8">
        <f t="shared" si="133"/>
        <v>60</v>
      </c>
      <c r="E514" s="8" t="str" cm="1">
        <f t="array" ref="E514">GetColorMatchValue(C514, $C$3:$C$10)</f>
        <v>pp</v>
      </c>
      <c r="F514" s="88" t="str">
        <f t="shared" ref="F514:F518" si="135">"&lt;tr&gt;&lt;td&gt;"&amp;A514&amp;"&lt;/td&gt;&lt;td&gt;"&amp;D514&amp;"%&lt;/td&gt;&lt;td&gt;${percent("&amp;E514&amp;", "&amp;D514&amp;")}&lt;/td&gt;&lt;/tr&gt;"</f>
        <v>&lt;tr&gt;&lt;td&gt;1 Set of 4 Reps &lt;/td&gt;&lt;td&gt;60%&lt;/td&gt;&lt;td&gt;${percent(pp, 60)}&lt;/td&gt;&lt;/tr&gt;</v>
      </c>
      <c r="H514" s="62"/>
      <c r="I514" s="62"/>
      <c r="L514" s="45"/>
    </row>
    <row r="515" spans="1:12" ht="15" customHeight="1" x14ac:dyDescent="0.25">
      <c r="A515" s="71" t="s">
        <v>105</v>
      </c>
      <c r="B515" s="7">
        <v>0.7</v>
      </c>
      <c r="C515" s="81">
        <f t="shared" si="134"/>
        <v>56</v>
      </c>
      <c r="D515" s="8">
        <f t="shared" si="133"/>
        <v>70</v>
      </c>
      <c r="E515" s="8" t="str" cm="1">
        <f t="array" ref="E515">GetColorMatchValue(C515, $C$3:$C$10)</f>
        <v>pp</v>
      </c>
      <c r="F515" s="88" t="str">
        <f t="shared" si="135"/>
        <v>&lt;tr&gt;&lt;td&gt;1 Set of 4 Reps &lt;/td&gt;&lt;td&gt;70%&lt;/td&gt;&lt;td&gt;${percent(pp, 70)}&lt;/td&gt;&lt;/tr&gt;</v>
      </c>
      <c r="H515" s="62"/>
      <c r="I515" s="62"/>
      <c r="L515" s="45"/>
    </row>
    <row r="516" spans="1:12" ht="15" customHeight="1" x14ac:dyDescent="0.25">
      <c r="A516" s="71" t="s">
        <v>98</v>
      </c>
      <c r="B516" s="7">
        <v>0.75</v>
      </c>
      <c r="C516" s="81">
        <f t="shared" si="134"/>
        <v>60</v>
      </c>
      <c r="D516" s="8">
        <f t="shared" si="133"/>
        <v>75</v>
      </c>
      <c r="E516" s="8" t="str" cm="1">
        <f t="array" ref="E516">GetColorMatchValue(C516, $C$3:$C$10)</f>
        <v>pp</v>
      </c>
      <c r="F516" s="88" t="str">
        <f t="shared" si="135"/>
        <v>&lt;tr&gt;&lt;td&gt;1 Set of 1 Rep &lt;/td&gt;&lt;td&gt;75%&lt;/td&gt;&lt;td&gt;${percent(pp, 75)}&lt;/td&gt;&lt;/tr&gt;</v>
      </c>
      <c r="H516" s="62"/>
      <c r="I516" s="62"/>
      <c r="L516" s="45"/>
    </row>
    <row r="517" spans="1:12" ht="15" customHeight="1" x14ac:dyDescent="0.25">
      <c r="A517" s="71" t="s">
        <v>105</v>
      </c>
      <c r="B517" s="7">
        <v>0.6</v>
      </c>
      <c r="C517" s="81">
        <f t="shared" si="134"/>
        <v>48</v>
      </c>
      <c r="D517" s="8">
        <f t="shared" si="133"/>
        <v>60</v>
      </c>
      <c r="E517" s="8" t="str" cm="1">
        <f t="array" ref="E517">GetColorMatchValue(C517, $C$3:$C$10)</f>
        <v>pp</v>
      </c>
      <c r="F517" s="88" t="str">
        <f t="shared" si="135"/>
        <v>&lt;tr&gt;&lt;td&gt;1 Set of 4 Reps &lt;/td&gt;&lt;td&gt;60%&lt;/td&gt;&lt;td&gt;${percent(pp, 60)}&lt;/td&gt;&lt;/tr&gt;</v>
      </c>
      <c r="H517" s="62"/>
      <c r="I517" s="62"/>
      <c r="L517" s="45"/>
    </row>
    <row r="518" spans="1:12" ht="15" customHeight="1" x14ac:dyDescent="0.25">
      <c r="A518" s="71" t="s">
        <v>95</v>
      </c>
      <c r="B518" s="7">
        <v>0.7</v>
      </c>
      <c r="C518" s="81">
        <f t="shared" si="134"/>
        <v>56</v>
      </c>
      <c r="D518" s="8">
        <f t="shared" si="133"/>
        <v>70</v>
      </c>
      <c r="E518" s="8" t="str" cm="1">
        <f t="array" ref="E518">GetColorMatchValue(C518, $C$3:$C$10)</f>
        <v>pp</v>
      </c>
      <c r="F518" s="88" t="str">
        <f t="shared" si="135"/>
        <v>&lt;tr&gt;&lt;td&gt;1 Set of 3 Reps &lt;/td&gt;&lt;td&gt;70%&lt;/td&gt;&lt;td&gt;${percent(pp, 70)}&lt;/td&gt;&lt;/tr&gt;</v>
      </c>
      <c r="H518" s="62"/>
      <c r="I518" s="62"/>
      <c r="L518" s="45"/>
    </row>
    <row r="519" spans="1:12" ht="15" customHeight="1" x14ac:dyDescent="0.25">
      <c r="A519" s="71"/>
      <c r="B519" s="8"/>
      <c r="C519" s="76"/>
      <c r="D519" s="8" t="str">
        <f t="shared" si="133"/>
        <v/>
      </c>
      <c r="E519" s="8" t="str" cm="1">
        <f t="array" ref="E519">GetColorMatchValue(C519, $C$3:$C$10)</f>
        <v/>
      </c>
      <c r="F519" s="89" t="s">
        <v>193</v>
      </c>
      <c r="H519" s="62"/>
      <c r="I519" s="62"/>
      <c r="L519" s="45"/>
    </row>
    <row r="520" spans="1:12" ht="15" customHeight="1" x14ac:dyDescent="0.25">
      <c r="A520" s="72" t="s">
        <v>47</v>
      </c>
      <c r="B520" s="8"/>
      <c r="C520" s="76"/>
      <c r="D520" s="8" t="str">
        <f t="shared" si="133"/>
        <v/>
      </c>
      <c r="E520" s="8" t="str" cm="1">
        <f t="array" ref="E520">GetColorMatchValue(C520, $C$3:$C$10)</f>
        <v/>
      </c>
      <c r="F520" s="88" t="str">
        <f>"&lt;tr&gt;&lt;th colspan=""3""&gt;"&amp;A520&amp;"&lt;/th&gt;&lt;/tr&gt;"</f>
        <v>&lt;tr&gt;&lt;th colspan="3"&gt;Press&lt;/th&gt;&lt;/tr&gt;</v>
      </c>
      <c r="H520" s="62"/>
      <c r="I520" s="62"/>
      <c r="L520" s="45"/>
    </row>
    <row r="521" spans="1:12" ht="15" customHeight="1" x14ac:dyDescent="0.25">
      <c r="A521" s="71" t="s">
        <v>203</v>
      </c>
      <c r="B521" s="71" t="s">
        <v>198</v>
      </c>
      <c r="C521" s="76"/>
      <c r="D521" s="8" t="str">
        <f t="shared" si="133"/>
        <v/>
      </c>
      <c r="E521" s="8" t="str" cm="1">
        <f t="array" ref="E521">GetColorMatchValue(C521, $C$3:$C$10)</f>
        <v/>
      </c>
      <c r="F521" s="88" t="str">
        <f>"&lt;tr&gt;&lt;td colspan=""3""&gt;"&amp;A521&amp;" "&amp;B521&amp;"&lt;/td&gt;&lt;/tr&gt;"</f>
        <v>&lt;tr&gt;&lt;td colspan="3"&gt;4 Sets of 4 Reps Work up to weight where you can maintain proper form.&lt;/td&gt;&lt;/tr&gt;</v>
      </c>
      <c r="H521" s="62"/>
      <c r="I521" s="62"/>
      <c r="L521" s="45"/>
    </row>
    <row r="522" spans="1:12" ht="15" customHeight="1" x14ac:dyDescent="0.25">
      <c r="A522" s="90" t="s">
        <v>68</v>
      </c>
      <c r="B522" s="74" t="s">
        <v>93</v>
      </c>
      <c r="C522" s="75" t="s">
        <v>94</v>
      </c>
      <c r="D522" s="74" t="s">
        <v>192</v>
      </c>
      <c r="E522" s="75" t="s">
        <v>190</v>
      </c>
      <c r="F522" s="91" t="s">
        <v>191</v>
      </c>
      <c r="I522" s="45"/>
      <c r="L522" s="45"/>
    </row>
    <row r="523" spans="1:12" ht="15" customHeight="1" x14ac:dyDescent="0.25">
      <c r="A523" s="72" t="s">
        <v>0</v>
      </c>
      <c r="B523" s="8"/>
      <c r="C523" s="76"/>
      <c r="D523" s="8" t="str">
        <f t="shared" si="133"/>
        <v/>
      </c>
      <c r="E523" s="8" t="str" cm="1">
        <f t="array" ref="E523">GetColorMatchValue(C523, $C$3:$C$10)</f>
        <v/>
      </c>
      <c r="F523" s="88" t="str">
        <f>"&lt;tr&gt;&lt;th colspan=""3""&gt;"&amp;A523&amp;"&lt;/th&gt;&lt;/tr&gt;"</f>
        <v>&lt;tr&gt;&lt;th colspan="3"&gt;Back Squat&lt;/th&gt;&lt;/tr&gt;</v>
      </c>
      <c r="I523" s="45"/>
      <c r="L523" s="45"/>
    </row>
    <row r="524" spans="1:12" ht="15" customHeight="1" x14ac:dyDescent="0.25">
      <c r="A524" s="71" t="s">
        <v>95</v>
      </c>
      <c r="B524" s="7">
        <v>0.6</v>
      </c>
      <c r="C524" s="77">
        <f>$B$3*B524</f>
        <v>120</v>
      </c>
      <c r="D524" s="8">
        <f t="shared" si="133"/>
        <v>60</v>
      </c>
      <c r="E524" s="8" t="str" cm="1">
        <f t="array" ref="E524">GetColorMatchValue(C524, $C$3:$C$10)</f>
        <v>bs</v>
      </c>
      <c r="F524" s="88" t="str">
        <f t="shared" ref="F524:F526" si="136">"&lt;tr&gt;&lt;td&gt;"&amp;A524&amp;"&lt;/td&gt;&lt;td&gt;"&amp;D524&amp;"%&lt;/td&gt;&lt;td&gt;${percent("&amp;E524&amp;", "&amp;D524&amp;")}&lt;/td&gt;&lt;/tr&gt;"</f>
        <v>&lt;tr&gt;&lt;td&gt;1 Set of 3 Reps &lt;/td&gt;&lt;td&gt;60%&lt;/td&gt;&lt;td&gt;${percent(bs, 60)}&lt;/td&gt;&lt;/tr&gt;</v>
      </c>
      <c r="I524" s="45"/>
      <c r="L524" s="45"/>
    </row>
    <row r="525" spans="1:12" ht="15" customHeight="1" x14ac:dyDescent="0.25">
      <c r="A525" s="71" t="s">
        <v>95</v>
      </c>
      <c r="B525" s="7">
        <v>0.7</v>
      </c>
      <c r="C525" s="77">
        <f>$B$3*B525</f>
        <v>140</v>
      </c>
      <c r="D525" s="8">
        <f t="shared" si="133"/>
        <v>70</v>
      </c>
      <c r="E525" s="8" t="str" cm="1">
        <f t="array" ref="E525">GetColorMatchValue(C525, $C$3:$C$10)</f>
        <v>bs</v>
      </c>
      <c r="F525" s="88" t="str">
        <f t="shared" si="136"/>
        <v>&lt;tr&gt;&lt;td&gt;1 Set of 3 Reps &lt;/td&gt;&lt;td&gt;70%&lt;/td&gt;&lt;td&gt;${percent(bs, 70)}&lt;/td&gt;&lt;/tr&gt;</v>
      </c>
      <c r="I525" s="45"/>
      <c r="L525" s="45"/>
    </row>
    <row r="526" spans="1:12" ht="15" customHeight="1" x14ac:dyDescent="0.25">
      <c r="A526" s="71" t="s">
        <v>156</v>
      </c>
      <c r="B526" s="7">
        <v>0.8</v>
      </c>
      <c r="C526" s="77">
        <f>$B$3*B526</f>
        <v>160</v>
      </c>
      <c r="D526" s="8">
        <f t="shared" si="133"/>
        <v>80</v>
      </c>
      <c r="E526" s="8" t="str" cm="1">
        <f t="array" ref="E526">GetColorMatchValue(C526, $C$3:$C$10)</f>
        <v>bs</v>
      </c>
      <c r="F526" s="88" t="str">
        <f t="shared" si="136"/>
        <v>&lt;tr&gt;&lt;td&gt;5 Sets f 3 Reps &lt;/td&gt;&lt;td&gt;80%&lt;/td&gt;&lt;td&gt;${percent(bs, 80)}&lt;/td&gt;&lt;/tr&gt;</v>
      </c>
      <c r="I526" s="45"/>
      <c r="L526" s="45"/>
    </row>
    <row r="527" spans="1:12" ht="15" customHeight="1" x14ac:dyDescent="0.25">
      <c r="A527" s="71"/>
      <c r="B527" s="8"/>
      <c r="C527" s="76"/>
      <c r="D527" s="8" t="str">
        <f t="shared" si="133"/>
        <v/>
      </c>
      <c r="E527" s="8" t="str" cm="1">
        <f t="array" ref="E527">GetColorMatchValue(C527, $C$3:$C$10)</f>
        <v/>
      </c>
      <c r="F527" s="89" t="s">
        <v>193</v>
      </c>
      <c r="I527" s="45"/>
      <c r="L527" s="45"/>
    </row>
    <row r="528" spans="1:12" ht="15" customHeight="1" x14ac:dyDescent="0.25">
      <c r="A528" s="72" t="s">
        <v>38</v>
      </c>
      <c r="B528" s="8"/>
      <c r="C528" s="76"/>
      <c r="D528" s="8" t="str">
        <f t="shared" si="133"/>
        <v/>
      </c>
      <c r="E528" s="8" t="str" cm="1">
        <f t="array" ref="E528">GetColorMatchValue(C528, $C$3:$C$10)</f>
        <v/>
      </c>
      <c r="F528" s="88" t="str">
        <f>"&lt;tr&gt;&lt;th colspan=""3""&gt;"&amp;A528&amp;"&lt;/th&gt;&lt;/tr&gt;"</f>
        <v>&lt;tr&gt;&lt;th colspan="3"&gt;Power Snatch + Behind the Neck Snatch Grip Push Press + Overhead Squat&lt;/th&gt;&lt;/tr&gt;</v>
      </c>
      <c r="I528" s="45"/>
      <c r="L528" s="45"/>
    </row>
    <row r="529" spans="1:12" ht="15" customHeight="1" x14ac:dyDescent="0.25">
      <c r="A529" s="71" t="s">
        <v>157</v>
      </c>
      <c r="B529" s="7">
        <v>0.6</v>
      </c>
      <c r="C529" s="79">
        <f t="shared" ref="C529:C532" si="137">$B$5*B529</f>
        <v>54</v>
      </c>
      <c r="D529" s="8">
        <f t="shared" si="133"/>
        <v>60</v>
      </c>
      <c r="E529" s="8" t="str" cm="1">
        <f t="array" ref="E529">GetColorMatchValue(C529, $C$3:$C$10)</f>
        <v>os</v>
      </c>
      <c r="F529" s="88" t="str">
        <f t="shared" ref="F529:F532" si="138">"&lt;tr&gt;&lt;td&gt;"&amp;A529&amp;"&lt;/td&gt;&lt;td&gt;"&amp;D529&amp;"%&lt;/td&gt;&lt;td&gt;${percent("&amp;E529&amp;", "&amp;D529&amp;")}&lt;/td&gt;&lt;/tr&gt;"</f>
        <v>&lt;tr&gt;&lt;td&gt;1 Set of 3 P.Sn. + 3 B.N.Sn.Gr.P.Pr. + 3 Oh.S. &lt;/td&gt;&lt;td&gt;60%&lt;/td&gt;&lt;td&gt;${percent(os, 60)}&lt;/td&gt;&lt;/tr&gt;</v>
      </c>
      <c r="I529" s="45"/>
      <c r="L529" s="45"/>
    </row>
    <row r="530" spans="1:12" ht="15" customHeight="1" x14ac:dyDescent="0.25">
      <c r="A530" s="71" t="s">
        <v>158</v>
      </c>
      <c r="B530" s="7">
        <v>0.7</v>
      </c>
      <c r="C530" s="79">
        <f t="shared" si="137"/>
        <v>62.999999999999993</v>
      </c>
      <c r="D530" s="8">
        <f t="shared" si="133"/>
        <v>70</v>
      </c>
      <c r="E530" s="8" t="str" cm="1">
        <f t="array" ref="E530">GetColorMatchValue(C530, $C$3:$C$10)</f>
        <v>os</v>
      </c>
      <c r="F530" s="88" t="str">
        <f t="shared" si="138"/>
        <v>&lt;tr&gt;&lt;td&gt;1 Set of 3 P.Sn. + 3 B.N.Sn.Gr.P.Pr. + 2 Oh.S. &lt;/td&gt;&lt;td&gt;70%&lt;/td&gt;&lt;td&gt;${percent(os, 70)}&lt;/td&gt;&lt;/tr&gt;</v>
      </c>
      <c r="I530" s="45"/>
      <c r="L530" s="45"/>
    </row>
    <row r="531" spans="1:12" ht="15" customHeight="1" x14ac:dyDescent="0.25">
      <c r="A531" s="71" t="s">
        <v>157</v>
      </c>
      <c r="B531" s="7">
        <v>0.6</v>
      </c>
      <c r="C531" s="79">
        <f t="shared" si="137"/>
        <v>54</v>
      </c>
      <c r="D531" s="8">
        <f t="shared" si="133"/>
        <v>60</v>
      </c>
      <c r="E531" s="8" t="str" cm="1">
        <f t="array" ref="E531">GetColorMatchValue(C531, $C$3:$C$10)</f>
        <v>os</v>
      </c>
      <c r="F531" s="88" t="str">
        <f t="shared" si="138"/>
        <v>&lt;tr&gt;&lt;td&gt;1 Set of 3 P.Sn. + 3 B.N.Sn.Gr.P.Pr. + 3 Oh.S. &lt;/td&gt;&lt;td&gt;60%&lt;/td&gt;&lt;td&gt;${percent(os, 60)}&lt;/td&gt;&lt;/tr&gt;</v>
      </c>
      <c r="I531" s="45"/>
      <c r="L531" s="45"/>
    </row>
    <row r="532" spans="1:12" ht="15" customHeight="1" x14ac:dyDescent="0.25">
      <c r="A532" s="71" t="s">
        <v>158</v>
      </c>
      <c r="B532" s="7">
        <v>0.7</v>
      </c>
      <c r="C532" s="79">
        <f t="shared" si="137"/>
        <v>62.999999999999993</v>
      </c>
      <c r="D532" s="8">
        <f t="shared" si="133"/>
        <v>70</v>
      </c>
      <c r="E532" s="8" t="str" cm="1">
        <f t="array" ref="E532">GetColorMatchValue(C532, $C$3:$C$10)</f>
        <v>os</v>
      </c>
      <c r="F532" s="88" t="str">
        <f t="shared" si="138"/>
        <v>&lt;tr&gt;&lt;td&gt;1 Set of 3 P.Sn. + 3 B.N.Sn.Gr.P.Pr. + 2 Oh.S. &lt;/td&gt;&lt;td&gt;70%&lt;/td&gt;&lt;td&gt;${percent(os, 70)}&lt;/td&gt;&lt;/tr&gt;</v>
      </c>
      <c r="I532" s="45"/>
      <c r="L532" s="45"/>
    </row>
    <row r="533" spans="1:12" ht="15" customHeight="1" x14ac:dyDescent="0.25">
      <c r="A533" s="71"/>
      <c r="B533" s="8"/>
      <c r="C533" s="76"/>
      <c r="D533" s="8" t="str">
        <f t="shared" si="133"/>
        <v/>
      </c>
      <c r="E533" s="8" t="str" cm="1">
        <f t="array" ref="E533">GetColorMatchValue(C533, $C$3:$C$10)</f>
        <v/>
      </c>
      <c r="F533" s="89" t="s">
        <v>193</v>
      </c>
      <c r="I533" s="45"/>
      <c r="L533" s="45"/>
    </row>
    <row r="534" spans="1:12" ht="15" customHeight="1" x14ac:dyDescent="0.25">
      <c r="A534" s="72" t="s">
        <v>73</v>
      </c>
      <c r="B534" s="8"/>
      <c r="C534" s="76"/>
      <c r="D534" s="8" t="str">
        <f t="shared" si="133"/>
        <v/>
      </c>
      <c r="E534" s="8" t="str" cm="1">
        <f t="array" ref="E534">GetColorMatchValue(C534, $C$3:$C$10)</f>
        <v/>
      </c>
      <c r="F534" s="88" t="str">
        <f>"&lt;tr&gt;&lt;th colspan=""3""&gt;"&amp;A534&amp;"&lt;/th&gt;&lt;/tr&gt;"</f>
        <v>&lt;tr&gt;&lt;th colspan="3"&gt;Power Clean + Front Squat + Push Jerk&lt;/th&gt;&lt;/tr&gt;</v>
      </c>
      <c r="I534" s="45"/>
      <c r="L534" s="45"/>
    </row>
    <row r="535" spans="1:12" ht="15" customHeight="1" x14ac:dyDescent="0.25">
      <c r="A535" s="71" t="s">
        <v>159</v>
      </c>
      <c r="B535" s="7">
        <v>0.6</v>
      </c>
      <c r="C535" s="82">
        <f t="shared" ref="C535:C538" si="139">$B$8*B535</f>
        <v>69</v>
      </c>
      <c r="D535" s="8">
        <f t="shared" si="133"/>
        <v>60</v>
      </c>
      <c r="E535" s="8" t="str" cm="1">
        <f t="array" ref="E535">GetColorMatchValue(C535, $C$3:$C$10)</f>
        <v>cj</v>
      </c>
      <c r="F535" s="88" t="str">
        <f t="shared" ref="F535:F538" si="140">"&lt;tr&gt;&lt;td&gt;"&amp;A535&amp;"&lt;/td&gt;&lt;td&gt;"&amp;D535&amp;"%&lt;/td&gt;&lt;td&gt;${percent("&amp;E535&amp;", "&amp;D535&amp;")}&lt;/td&gt;&lt;/tr&gt;"</f>
        <v>&lt;tr&gt;&lt;td&gt;1 Set of 3 P.Cl. + 3 F.S. + 3 P.Jr. &lt;/td&gt;&lt;td&gt;60%&lt;/td&gt;&lt;td&gt;${percent(cj, 60)}&lt;/td&gt;&lt;/tr&gt;</v>
      </c>
      <c r="I535" s="45"/>
      <c r="L535" s="45"/>
    </row>
    <row r="536" spans="1:12" ht="15" customHeight="1" x14ac:dyDescent="0.25">
      <c r="A536" s="71" t="s">
        <v>160</v>
      </c>
      <c r="B536" s="7">
        <v>0.7</v>
      </c>
      <c r="C536" s="82">
        <f t="shared" si="139"/>
        <v>80.5</v>
      </c>
      <c r="D536" s="8">
        <f t="shared" si="133"/>
        <v>70</v>
      </c>
      <c r="E536" s="8" t="str" cm="1">
        <f t="array" ref="E536">GetColorMatchValue(C536, $C$3:$C$10)</f>
        <v>cj</v>
      </c>
      <c r="F536" s="88" t="str">
        <f t="shared" si="140"/>
        <v>&lt;tr&gt;&lt;td&gt;1 Set of 3 P.Cl. + 3 F.S. + 2 P.Jr. &lt;/td&gt;&lt;td&gt;70%&lt;/td&gt;&lt;td&gt;${percent(cj, 70)}&lt;/td&gt;&lt;/tr&gt;</v>
      </c>
      <c r="I536" s="45"/>
      <c r="L536" s="45"/>
    </row>
    <row r="537" spans="1:12" ht="15" customHeight="1" x14ac:dyDescent="0.25">
      <c r="A537" s="71" t="s">
        <v>159</v>
      </c>
      <c r="B537" s="7">
        <v>0.6</v>
      </c>
      <c r="C537" s="82">
        <f t="shared" si="139"/>
        <v>69</v>
      </c>
      <c r="D537" s="8">
        <f t="shared" si="133"/>
        <v>60</v>
      </c>
      <c r="E537" s="8" t="str" cm="1">
        <f t="array" ref="E537">GetColorMatchValue(C537, $C$3:$C$10)</f>
        <v>cj</v>
      </c>
      <c r="F537" s="88" t="str">
        <f t="shared" si="140"/>
        <v>&lt;tr&gt;&lt;td&gt;1 Set of 3 P.Cl. + 3 F.S. + 3 P.Jr. &lt;/td&gt;&lt;td&gt;60%&lt;/td&gt;&lt;td&gt;${percent(cj, 60)}&lt;/td&gt;&lt;/tr&gt;</v>
      </c>
      <c r="I537" s="45"/>
      <c r="L537" s="45"/>
    </row>
    <row r="538" spans="1:12" ht="15" customHeight="1" x14ac:dyDescent="0.25">
      <c r="A538" s="71" t="s">
        <v>160</v>
      </c>
      <c r="B538" s="7">
        <v>0.7</v>
      </c>
      <c r="C538" s="82">
        <f t="shared" si="139"/>
        <v>80.5</v>
      </c>
      <c r="D538" s="8">
        <f t="shared" si="133"/>
        <v>70</v>
      </c>
      <c r="E538" s="8" t="str" cm="1">
        <f t="array" ref="E538">GetColorMatchValue(C538, $C$3:$C$10)</f>
        <v>cj</v>
      </c>
      <c r="F538" s="88" t="str">
        <f t="shared" si="140"/>
        <v>&lt;tr&gt;&lt;td&gt;1 Set of 3 P.Cl. + 3 F.S. + 2 P.Jr. &lt;/td&gt;&lt;td&gt;70%&lt;/td&gt;&lt;td&gt;${percent(cj, 70)}&lt;/td&gt;&lt;/tr&gt;</v>
      </c>
      <c r="I538" s="45"/>
      <c r="L538" s="45"/>
    </row>
    <row r="539" spans="1:12" ht="15" customHeight="1" x14ac:dyDescent="0.25">
      <c r="A539" s="90" t="s">
        <v>69</v>
      </c>
      <c r="B539" s="74" t="s">
        <v>93</v>
      </c>
      <c r="C539" s="75" t="s">
        <v>94</v>
      </c>
      <c r="D539" s="74" t="s">
        <v>192</v>
      </c>
      <c r="E539" s="75" t="s">
        <v>190</v>
      </c>
      <c r="F539" s="91" t="s">
        <v>191</v>
      </c>
      <c r="I539" s="45"/>
      <c r="L539" s="45"/>
    </row>
    <row r="540" spans="1:12" ht="15" customHeight="1" x14ac:dyDescent="0.25">
      <c r="A540" s="72" t="s">
        <v>0</v>
      </c>
      <c r="B540" s="8"/>
      <c r="C540" s="76"/>
      <c r="D540" s="8" t="str">
        <f t="shared" si="133"/>
        <v/>
      </c>
      <c r="E540" s="8" t="str" cm="1">
        <f t="array" ref="E540">GetColorMatchValue(C540, $C$3:$C$10)</f>
        <v/>
      </c>
      <c r="F540" s="88" t="str">
        <f>"&lt;tr&gt;&lt;th colspan=""3""&gt;"&amp;A540&amp;"&lt;/th&gt;&lt;/tr&gt;"</f>
        <v>&lt;tr&gt;&lt;th colspan="3"&gt;Back Squat&lt;/th&gt;&lt;/tr&gt;</v>
      </c>
      <c r="I540" s="45"/>
      <c r="L540" s="45"/>
    </row>
    <row r="541" spans="1:12" ht="15" customHeight="1" x14ac:dyDescent="0.25">
      <c r="A541" s="71" t="s">
        <v>105</v>
      </c>
      <c r="B541" s="7">
        <v>0.6</v>
      </c>
      <c r="C541" s="77">
        <f>$B$3*B541</f>
        <v>120</v>
      </c>
      <c r="D541" s="8">
        <f t="shared" si="133"/>
        <v>60</v>
      </c>
      <c r="E541" s="8" t="str" cm="1">
        <f t="array" ref="E541">GetColorMatchValue(C541, $C$3:$C$10)</f>
        <v>bs</v>
      </c>
      <c r="F541" s="88" t="str">
        <f t="shared" ref="F541:F543" si="141">"&lt;tr&gt;&lt;td&gt;"&amp;A541&amp;"&lt;/td&gt;&lt;td&gt;"&amp;D541&amp;"%&lt;/td&gt;&lt;td&gt;${percent("&amp;E541&amp;", "&amp;D541&amp;")}&lt;/td&gt;&lt;/tr&gt;"</f>
        <v>&lt;tr&gt;&lt;td&gt;1 Set of 4 Reps &lt;/td&gt;&lt;td&gt;60%&lt;/td&gt;&lt;td&gt;${percent(bs, 60)}&lt;/td&gt;&lt;/tr&gt;</v>
      </c>
      <c r="I541" s="45"/>
      <c r="L541" s="45"/>
    </row>
    <row r="542" spans="1:12" ht="15" customHeight="1" x14ac:dyDescent="0.25">
      <c r="A542" s="71" t="s">
        <v>105</v>
      </c>
      <c r="B542" s="7">
        <v>0.7</v>
      </c>
      <c r="C542" s="77">
        <f>$B$3*B542</f>
        <v>140</v>
      </c>
      <c r="D542" s="8">
        <f t="shared" si="133"/>
        <v>70</v>
      </c>
      <c r="E542" s="8" t="str" cm="1">
        <f t="array" ref="E542">GetColorMatchValue(C542, $C$3:$C$10)</f>
        <v>bs</v>
      </c>
      <c r="F542" s="88" t="str">
        <f t="shared" si="141"/>
        <v>&lt;tr&gt;&lt;td&gt;1 Set of 4 Reps &lt;/td&gt;&lt;td&gt;70%&lt;/td&gt;&lt;td&gt;${percent(bs, 70)}&lt;/td&gt;&lt;/tr&gt;</v>
      </c>
      <c r="I542" s="45"/>
      <c r="L542" s="45"/>
    </row>
    <row r="543" spans="1:12" ht="15" customHeight="1" x14ac:dyDescent="0.25">
      <c r="A543" s="71" t="s">
        <v>110</v>
      </c>
      <c r="B543" s="7">
        <v>0.8</v>
      </c>
      <c r="C543" s="77">
        <f>$B$3*B543</f>
        <v>160</v>
      </c>
      <c r="D543" s="8">
        <f t="shared" si="133"/>
        <v>80</v>
      </c>
      <c r="E543" s="8" t="str" cm="1">
        <f t="array" ref="E543">GetColorMatchValue(C543, $C$3:$C$10)</f>
        <v>bs</v>
      </c>
      <c r="F543" s="88" t="str">
        <f t="shared" si="141"/>
        <v>&lt;tr&gt;&lt;td&gt;3 Sets of 4 Reps &lt;/td&gt;&lt;td&gt;80%&lt;/td&gt;&lt;td&gt;${percent(bs, 80)}&lt;/td&gt;&lt;/tr&gt;</v>
      </c>
      <c r="I543" s="45"/>
      <c r="L543" s="45"/>
    </row>
    <row r="544" spans="1:12" ht="15" customHeight="1" x14ac:dyDescent="0.25">
      <c r="A544" s="71"/>
      <c r="B544" s="8"/>
      <c r="C544" s="76"/>
      <c r="D544" s="8" t="str">
        <f t="shared" si="133"/>
        <v/>
      </c>
      <c r="E544" s="8" t="str" cm="1">
        <f t="array" ref="E544">GetColorMatchValue(C544, $C$3:$C$10)</f>
        <v/>
      </c>
      <c r="F544" s="89" t="s">
        <v>193</v>
      </c>
      <c r="I544" s="45"/>
      <c r="L544" s="45"/>
    </row>
    <row r="545" spans="1:12" ht="15" customHeight="1" x14ac:dyDescent="0.25">
      <c r="A545" s="72" t="s">
        <v>87</v>
      </c>
      <c r="B545" s="8"/>
      <c r="C545" s="76"/>
      <c r="D545" s="8" t="str">
        <f t="shared" si="133"/>
        <v/>
      </c>
      <c r="E545" s="8" t="str" cm="1">
        <f t="array" ref="E545">GetColorMatchValue(C545, $C$3:$C$10)</f>
        <v/>
      </c>
      <c r="F545" s="88" t="str">
        <f>"&lt;tr&gt;&lt;th colspan=""3""&gt;"&amp;A545&amp;"&lt;/th&gt;&lt;/tr&gt;"</f>
        <v>&lt;tr&gt;&lt;th colspan="3"&gt;Snatch Pull &lt;/th&gt;&lt;/tr&gt;</v>
      </c>
      <c r="I545" s="45"/>
      <c r="L545" s="45"/>
    </row>
    <row r="546" spans="1:12" ht="15" customHeight="1" x14ac:dyDescent="0.25">
      <c r="A546" s="71" t="s">
        <v>105</v>
      </c>
      <c r="B546" s="7">
        <v>0.9</v>
      </c>
      <c r="C546" s="78">
        <f t="shared" ref="C546:C547" si="142">$B$7*B546</f>
        <v>85.5</v>
      </c>
      <c r="D546" s="8">
        <f t="shared" si="133"/>
        <v>90</v>
      </c>
      <c r="E546" s="8" t="str" cm="1">
        <f t="array" ref="E546">GetColorMatchValue(C546, $C$3:$C$10)</f>
        <v>s</v>
      </c>
      <c r="F546" s="88" t="str">
        <f t="shared" ref="F546:F547" si="143">"&lt;tr&gt;&lt;td&gt;"&amp;A546&amp;"&lt;/td&gt;&lt;td&gt;"&amp;D546&amp;"%&lt;/td&gt;&lt;td&gt;${percent("&amp;E546&amp;", "&amp;D546&amp;")}&lt;/td&gt;&lt;/tr&gt;"</f>
        <v>&lt;tr&gt;&lt;td&gt;1 Set of 4 Reps &lt;/td&gt;&lt;td&gt;90%&lt;/td&gt;&lt;td&gt;${percent(s, 90)}&lt;/td&gt;&lt;/tr&gt;</v>
      </c>
      <c r="I546" s="45"/>
      <c r="L546" s="45"/>
    </row>
    <row r="547" spans="1:12" ht="15" customHeight="1" x14ac:dyDescent="0.25">
      <c r="A547" s="71" t="s">
        <v>104</v>
      </c>
      <c r="B547" s="7">
        <v>1</v>
      </c>
      <c r="C547" s="78">
        <f t="shared" si="142"/>
        <v>95</v>
      </c>
      <c r="D547" s="8">
        <f t="shared" si="133"/>
        <v>100</v>
      </c>
      <c r="E547" s="8" t="str" cm="1">
        <f t="array" ref="E547">GetColorMatchValue(C547, $C$3:$C$10)</f>
        <v>s</v>
      </c>
      <c r="F547" s="88" t="str">
        <f t="shared" si="143"/>
        <v>&lt;tr&gt;&lt;td&gt;4 Sets of 4 Reps &lt;/td&gt;&lt;td&gt;100%&lt;/td&gt;&lt;td&gt;${percent(s, 100)}&lt;/td&gt;&lt;/tr&gt;</v>
      </c>
      <c r="I547" s="45"/>
      <c r="L547" s="45"/>
    </row>
    <row r="548" spans="1:12" ht="15" customHeight="1" x14ac:dyDescent="0.25">
      <c r="A548" s="71"/>
      <c r="B548" s="8"/>
      <c r="C548" s="76"/>
      <c r="D548" s="8" t="str">
        <f t="shared" si="133"/>
        <v/>
      </c>
      <c r="E548" s="8" t="str" cm="1">
        <f t="array" ref="E548">GetColorMatchValue(C548, $C$3:$C$10)</f>
        <v/>
      </c>
      <c r="F548" s="89" t="s">
        <v>193</v>
      </c>
      <c r="I548" s="45"/>
      <c r="L548" s="45"/>
    </row>
    <row r="549" spans="1:12" ht="15" customHeight="1" x14ac:dyDescent="0.25">
      <c r="A549" s="72" t="s">
        <v>88</v>
      </c>
      <c r="B549" s="8"/>
      <c r="C549" s="76"/>
      <c r="D549" s="8" t="str">
        <f t="shared" si="133"/>
        <v/>
      </c>
      <c r="E549" s="8" t="str" cm="1">
        <f t="array" ref="E549">GetColorMatchValue(C549, $C$3:$C$10)</f>
        <v/>
      </c>
      <c r="F549" s="88" t="str">
        <f>"&lt;tr&gt;&lt;th colspan=""3""&gt;"&amp;A549&amp;"&lt;/th&gt;&lt;/tr&gt;"</f>
        <v>&lt;tr&gt;&lt;th colspan="3"&gt;Clean Pull from Blocks Below the Knee &lt;/th&gt;&lt;/tr&gt;</v>
      </c>
      <c r="I549" s="45"/>
      <c r="L549" s="45"/>
    </row>
    <row r="550" spans="1:12" ht="15" customHeight="1" x14ac:dyDescent="0.25">
      <c r="A550" s="71" t="s">
        <v>105</v>
      </c>
      <c r="B550" s="7">
        <v>0.8</v>
      </c>
      <c r="C550" s="80">
        <f t="shared" ref="C550:C555" si="144">$B$6*B550</f>
        <v>88</v>
      </c>
      <c r="D550" s="8">
        <f t="shared" si="133"/>
        <v>80</v>
      </c>
      <c r="E550" s="8" t="str" cm="1">
        <f t="array" ref="E550">GetColorMatchValue(C550, $C$3:$C$10)</f>
        <v>c</v>
      </c>
      <c r="F550" s="88" t="str">
        <f t="shared" ref="F550:F555" si="145">"&lt;tr&gt;&lt;td&gt;"&amp;A550&amp;"&lt;/td&gt;&lt;td&gt;"&amp;D550&amp;"%&lt;/td&gt;&lt;td&gt;${percent("&amp;E550&amp;", "&amp;D550&amp;")}&lt;/td&gt;&lt;/tr&gt;"</f>
        <v>&lt;tr&gt;&lt;td&gt;1 Set of 4 Reps &lt;/td&gt;&lt;td&gt;80%&lt;/td&gt;&lt;td&gt;${percent(c, 80)}&lt;/td&gt;&lt;/tr&gt;</v>
      </c>
      <c r="I550" s="45"/>
      <c r="L550" s="45"/>
    </row>
    <row r="551" spans="1:12" ht="15" customHeight="1" x14ac:dyDescent="0.25">
      <c r="A551" s="71" t="s">
        <v>95</v>
      </c>
      <c r="B551" s="7">
        <v>0.9</v>
      </c>
      <c r="C551" s="80">
        <f t="shared" si="144"/>
        <v>99</v>
      </c>
      <c r="D551" s="8">
        <f t="shared" si="133"/>
        <v>90</v>
      </c>
      <c r="E551" s="8" t="str" cm="1">
        <f t="array" ref="E551">GetColorMatchValue(C551, $C$3:$C$10)</f>
        <v>c</v>
      </c>
      <c r="F551" s="88" t="str">
        <f t="shared" si="145"/>
        <v>&lt;tr&gt;&lt;td&gt;1 Set of 3 Reps &lt;/td&gt;&lt;td&gt;90%&lt;/td&gt;&lt;td&gt;${percent(c, 90)}&lt;/td&gt;&lt;/tr&gt;</v>
      </c>
      <c r="I551" s="45"/>
      <c r="L551" s="45"/>
    </row>
    <row r="552" spans="1:12" ht="15" customHeight="1" x14ac:dyDescent="0.25">
      <c r="A552" s="71" t="s">
        <v>105</v>
      </c>
      <c r="B552" s="7">
        <v>0.8</v>
      </c>
      <c r="C552" s="80">
        <f t="shared" si="144"/>
        <v>88</v>
      </c>
      <c r="D552" s="8">
        <f t="shared" si="133"/>
        <v>80</v>
      </c>
      <c r="E552" s="8" t="str" cm="1">
        <f t="array" ref="E552">GetColorMatchValue(C552, $C$3:$C$10)</f>
        <v>c</v>
      </c>
      <c r="F552" s="88" t="str">
        <f t="shared" si="145"/>
        <v>&lt;tr&gt;&lt;td&gt;1 Set of 4 Reps &lt;/td&gt;&lt;td&gt;80%&lt;/td&gt;&lt;td&gt;${percent(c, 80)}&lt;/td&gt;&lt;/tr&gt;</v>
      </c>
      <c r="I552" s="45"/>
      <c r="L552" s="45"/>
    </row>
    <row r="553" spans="1:12" ht="15" customHeight="1" x14ac:dyDescent="0.25">
      <c r="A553" s="71" t="s">
        <v>95</v>
      </c>
      <c r="B553" s="7">
        <v>0.9</v>
      </c>
      <c r="C553" s="80">
        <f t="shared" si="144"/>
        <v>99</v>
      </c>
      <c r="D553" s="8">
        <f t="shared" si="133"/>
        <v>90</v>
      </c>
      <c r="E553" s="8" t="str" cm="1">
        <f t="array" ref="E553">GetColorMatchValue(C553, $C$3:$C$10)</f>
        <v>c</v>
      </c>
      <c r="F553" s="88" t="str">
        <f t="shared" si="145"/>
        <v>&lt;tr&gt;&lt;td&gt;1 Set of 3 Reps &lt;/td&gt;&lt;td&gt;90%&lt;/td&gt;&lt;td&gt;${percent(c, 90)}&lt;/td&gt;&lt;/tr&gt;</v>
      </c>
      <c r="I553" s="45"/>
      <c r="L553" s="45"/>
    </row>
    <row r="554" spans="1:12" ht="15" customHeight="1" x14ac:dyDescent="0.25">
      <c r="A554" s="71" t="s">
        <v>105</v>
      </c>
      <c r="B554" s="7">
        <v>0.8</v>
      </c>
      <c r="C554" s="80">
        <f t="shared" si="144"/>
        <v>88</v>
      </c>
      <c r="D554" s="8">
        <f t="shared" si="133"/>
        <v>80</v>
      </c>
      <c r="E554" s="8" t="str" cm="1">
        <f t="array" ref="E554">GetColorMatchValue(C554, $C$3:$C$10)</f>
        <v>c</v>
      </c>
      <c r="F554" s="88" t="str">
        <f t="shared" si="145"/>
        <v>&lt;tr&gt;&lt;td&gt;1 Set of 4 Reps &lt;/td&gt;&lt;td&gt;80%&lt;/td&gt;&lt;td&gt;${percent(c, 80)}&lt;/td&gt;&lt;/tr&gt;</v>
      </c>
      <c r="I554" s="45"/>
      <c r="L554" s="45"/>
    </row>
    <row r="555" spans="1:12" ht="15" customHeight="1" x14ac:dyDescent="0.25">
      <c r="A555" s="71" t="s">
        <v>95</v>
      </c>
      <c r="B555" s="7">
        <v>0.9</v>
      </c>
      <c r="C555" s="80">
        <f t="shared" si="144"/>
        <v>99</v>
      </c>
      <c r="D555" s="8">
        <f t="shared" si="133"/>
        <v>90</v>
      </c>
      <c r="E555" s="8" t="str" cm="1">
        <f t="array" ref="E555">GetColorMatchValue(C555, $C$3:$C$10)</f>
        <v>c</v>
      </c>
      <c r="F555" s="88" t="str">
        <f t="shared" si="145"/>
        <v>&lt;tr&gt;&lt;td&gt;1 Set of 3 Reps &lt;/td&gt;&lt;td&gt;90%&lt;/td&gt;&lt;td&gt;${percent(c, 90)}&lt;/td&gt;&lt;/tr&gt;</v>
      </c>
      <c r="I555" s="45"/>
      <c r="L555" s="45"/>
    </row>
    <row r="556" spans="1:12" ht="15" customHeight="1" x14ac:dyDescent="0.25">
      <c r="A556" s="71"/>
      <c r="B556" s="8"/>
      <c r="C556" s="76"/>
      <c r="D556" s="8" t="str">
        <f t="shared" si="133"/>
        <v/>
      </c>
      <c r="E556" s="8" t="str" cm="1">
        <f t="array" ref="E556">GetColorMatchValue(C556, $C$3:$C$10)</f>
        <v/>
      </c>
      <c r="F556" s="89" t="s">
        <v>193</v>
      </c>
      <c r="I556" s="45"/>
      <c r="L556" s="45"/>
    </row>
    <row r="557" spans="1:12" ht="15" customHeight="1" x14ac:dyDescent="0.25">
      <c r="A557" s="72" t="s">
        <v>47</v>
      </c>
      <c r="B557" s="8"/>
      <c r="C557" s="76"/>
      <c r="D557" s="8" t="str">
        <f t="shared" si="133"/>
        <v/>
      </c>
      <c r="E557" s="8" t="str" cm="1">
        <f t="array" ref="E557">GetColorMatchValue(C557, $C$3:$C$10)</f>
        <v/>
      </c>
      <c r="F557" s="88" t="str">
        <f>"&lt;tr&gt;&lt;th colspan=""3""&gt;"&amp;A557&amp;"&lt;/th&gt;&lt;/tr&gt;"</f>
        <v>&lt;tr&gt;&lt;th colspan="3"&gt;Press&lt;/th&gt;&lt;/tr&gt;</v>
      </c>
      <c r="I557" s="45"/>
      <c r="L557" s="45"/>
    </row>
    <row r="558" spans="1:12" ht="15" customHeight="1" x14ac:dyDescent="0.25">
      <c r="A558" s="71" t="s">
        <v>206</v>
      </c>
      <c r="B558" s="71" t="s">
        <v>198</v>
      </c>
      <c r="C558" s="76"/>
      <c r="D558" s="8" t="str">
        <f t="shared" si="133"/>
        <v/>
      </c>
      <c r="E558" s="8" t="str" cm="1">
        <f t="array" ref="E558">GetColorMatchValue(C558, $C$3:$C$10)</f>
        <v/>
      </c>
      <c r="F558" s="88" t="str">
        <f>"&lt;tr&gt;&lt;td colspan=""3""&gt;"&amp;A558&amp;" "&amp;B558&amp;"&lt;/td&gt;&lt;/tr&gt;"</f>
        <v>&lt;tr&gt;&lt;td colspan="3"&gt;4 Sets of 3 Reps Work up to weight where you can maintain proper form.&lt;/td&gt;&lt;/tr&gt;</v>
      </c>
      <c r="I558" s="45"/>
      <c r="L558" s="45"/>
    </row>
    <row r="559" spans="1:12" s="13" customFormat="1" ht="15" customHeight="1" x14ac:dyDescent="0.25">
      <c r="A559" s="90" t="s">
        <v>76</v>
      </c>
      <c r="B559" s="74" t="s">
        <v>93</v>
      </c>
      <c r="C559" s="75" t="s">
        <v>94</v>
      </c>
      <c r="D559" s="74" t="s">
        <v>192</v>
      </c>
      <c r="E559" s="75" t="s">
        <v>190</v>
      </c>
      <c r="F559" s="91" t="s">
        <v>191</v>
      </c>
    </row>
    <row r="560" spans="1:12" ht="15" customHeight="1" x14ac:dyDescent="0.25">
      <c r="A560" s="72" t="s">
        <v>0</v>
      </c>
      <c r="B560" s="8"/>
      <c r="C560" s="76"/>
      <c r="D560" s="8" t="str">
        <f t="shared" si="133"/>
        <v/>
      </c>
      <c r="E560" s="8" t="str" cm="1">
        <f t="array" ref="E560">GetColorMatchValue(C560, $C$3:$C$10)</f>
        <v/>
      </c>
      <c r="F560" s="88" t="str">
        <f>"&lt;tr&gt;&lt;th colspan=""3""&gt;"&amp;A560&amp;"&lt;/th&gt;&lt;/tr&gt;"</f>
        <v>&lt;tr&gt;&lt;th colspan="3"&gt;Back Squat&lt;/th&gt;&lt;/tr&gt;</v>
      </c>
    </row>
    <row r="561" spans="1:6" ht="15" customHeight="1" x14ac:dyDescent="0.25">
      <c r="A561" s="71" t="s">
        <v>103</v>
      </c>
      <c r="B561" s="7">
        <v>0.6</v>
      </c>
      <c r="C561" s="77">
        <f>$B$3*B561</f>
        <v>120</v>
      </c>
      <c r="D561" s="8">
        <f t="shared" si="133"/>
        <v>60</v>
      </c>
      <c r="E561" s="8" t="str" cm="1">
        <f t="array" ref="E561">GetColorMatchValue(C561, $C$3:$C$10)</f>
        <v>bs</v>
      </c>
      <c r="F561" s="88" t="str">
        <f t="shared" ref="F561:F563" si="146">"&lt;tr&gt;&lt;td&gt;"&amp;A561&amp;"&lt;/td&gt;&lt;td&gt;"&amp;D561&amp;"%&lt;/td&gt;&lt;td&gt;${percent("&amp;E561&amp;", "&amp;D561&amp;")}&lt;/td&gt;&lt;/tr&gt;"</f>
        <v>&lt;tr&gt;&lt;td&gt;1 Set of 5 Reps &lt;/td&gt;&lt;td&gt;60%&lt;/td&gt;&lt;td&gt;${percent(bs, 60)}&lt;/td&gt;&lt;/tr&gt;</v>
      </c>
    </row>
    <row r="562" spans="1:6" ht="15" customHeight="1" x14ac:dyDescent="0.25">
      <c r="A562" s="71" t="s">
        <v>103</v>
      </c>
      <c r="B562" s="7">
        <v>0.7</v>
      </c>
      <c r="C562" s="77">
        <f>$B$3*B562</f>
        <v>140</v>
      </c>
      <c r="D562" s="8">
        <f t="shared" si="133"/>
        <v>70</v>
      </c>
      <c r="E562" s="8" t="str" cm="1">
        <f t="array" ref="E562">GetColorMatchValue(C562, $C$3:$C$10)</f>
        <v>bs</v>
      </c>
      <c r="F562" s="88" t="str">
        <f t="shared" si="146"/>
        <v>&lt;tr&gt;&lt;td&gt;1 Set of 5 Reps &lt;/td&gt;&lt;td&gt;70%&lt;/td&gt;&lt;td&gt;${percent(bs, 70)}&lt;/td&gt;&lt;/tr&gt;</v>
      </c>
    </row>
    <row r="563" spans="1:6" ht="15" customHeight="1" x14ac:dyDescent="0.25">
      <c r="A563" s="71" t="s">
        <v>111</v>
      </c>
      <c r="B563" s="7">
        <v>0.8</v>
      </c>
      <c r="C563" s="77">
        <f>$B$3*B563</f>
        <v>160</v>
      </c>
      <c r="D563" s="8">
        <f t="shared" si="133"/>
        <v>80</v>
      </c>
      <c r="E563" s="8" t="str" cm="1">
        <f t="array" ref="E563">GetColorMatchValue(C563, $C$3:$C$10)</f>
        <v>bs</v>
      </c>
      <c r="F563" s="88" t="str">
        <f t="shared" si="146"/>
        <v>&lt;tr&gt;&lt;td&gt;5 Sets of 5 Reps &lt;/td&gt;&lt;td&gt;80%&lt;/td&gt;&lt;td&gt;${percent(bs, 80)}&lt;/td&gt;&lt;/tr&gt;</v>
      </c>
    </row>
    <row r="564" spans="1:6" ht="15" customHeight="1" x14ac:dyDescent="0.25">
      <c r="A564" s="71"/>
      <c r="B564" s="8"/>
      <c r="C564" s="76"/>
      <c r="D564" s="8" t="str">
        <f t="shared" si="133"/>
        <v/>
      </c>
      <c r="E564" s="8" t="str" cm="1">
        <f t="array" ref="E564">GetColorMatchValue(C564, $C$3:$C$10)</f>
        <v/>
      </c>
      <c r="F564" s="89" t="s">
        <v>193</v>
      </c>
    </row>
    <row r="565" spans="1:6" ht="15" customHeight="1" x14ac:dyDescent="0.25">
      <c r="A565" s="72" t="s">
        <v>42</v>
      </c>
      <c r="B565" s="8"/>
      <c r="C565" s="76"/>
      <c r="D565" s="8" t="str">
        <f t="shared" si="133"/>
        <v/>
      </c>
      <c r="E565" s="8" t="str" cm="1">
        <f t="array" ref="E565">GetColorMatchValue(C565, $C$3:$C$10)</f>
        <v/>
      </c>
      <c r="F565" s="88" t="str">
        <f>"&lt;tr&gt;&lt;th colspan=""3""&gt;"&amp;A565&amp;"&lt;/th&gt;&lt;/tr&gt;"</f>
        <v>&lt;tr&gt;&lt;th colspan="3"&gt;Snatch&lt;/th&gt;&lt;/tr&gt;</v>
      </c>
    </row>
    <row r="566" spans="1:6" ht="15" customHeight="1" x14ac:dyDescent="0.25">
      <c r="A566" s="71" t="s">
        <v>105</v>
      </c>
      <c r="B566" s="7">
        <v>0.6</v>
      </c>
      <c r="C566" s="78">
        <f t="shared" ref="C566:C568" si="147">$B$7*B566</f>
        <v>57</v>
      </c>
      <c r="D566" s="8">
        <f t="shared" si="133"/>
        <v>60</v>
      </c>
      <c r="E566" s="8" t="str" cm="1">
        <f t="array" ref="E566">GetColorMatchValue(C566, $C$3:$C$10)</f>
        <v>s</v>
      </c>
      <c r="F566" s="88" t="str">
        <f t="shared" ref="F566:F568" si="148">"&lt;tr&gt;&lt;td&gt;"&amp;A566&amp;"&lt;/td&gt;&lt;td&gt;"&amp;D566&amp;"%&lt;/td&gt;&lt;td&gt;${percent("&amp;E566&amp;", "&amp;D566&amp;")}&lt;/td&gt;&lt;/tr&gt;"</f>
        <v>&lt;tr&gt;&lt;td&gt;1 Set of 4 Reps &lt;/td&gt;&lt;td&gt;60%&lt;/td&gt;&lt;td&gt;${percent(s, 60)}&lt;/td&gt;&lt;/tr&gt;</v>
      </c>
    </row>
    <row r="567" spans="1:6" ht="15" customHeight="1" x14ac:dyDescent="0.25">
      <c r="A567" s="71" t="s">
        <v>105</v>
      </c>
      <c r="B567" s="7">
        <v>0.7</v>
      </c>
      <c r="C567" s="78">
        <f t="shared" si="147"/>
        <v>66.5</v>
      </c>
      <c r="D567" s="8">
        <f t="shared" si="133"/>
        <v>70</v>
      </c>
      <c r="E567" s="8" t="str" cm="1">
        <f t="array" ref="E567">GetColorMatchValue(C567, $C$3:$C$10)</f>
        <v>s</v>
      </c>
      <c r="F567" s="88" t="str">
        <f t="shared" si="148"/>
        <v>&lt;tr&gt;&lt;td&gt;1 Set of 4 Reps &lt;/td&gt;&lt;td&gt;70%&lt;/td&gt;&lt;td&gt;${percent(s, 70)}&lt;/td&gt;&lt;/tr&gt;</v>
      </c>
    </row>
    <row r="568" spans="1:6" ht="15" customHeight="1" x14ac:dyDescent="0.25">
      <c r="A568" s="71" t="s">
        <v>104</v>
      </c>
      <c r="B568" s="7">
        <v>0.8</v>
      </c>
      <c r="C568" s="78">
        <f t="shared" si="147"/>
        <v>76</v>
      </c>
      <c r="D568" s="8">
        <f t="shared" si="133"/>
        <v>80</v>
      </c>
      <c r="E568" s="8" t="str" cm="1">
        <f t="array" ref="E568">GetColorMatchValue(C568, $C$3:$C$10)</f>
        <v>s</v>
      </c>
      <c r="F568" s="88" t="str">
        <f t="shared" si="148"/>
        <v>&lt;tr&gt;&lt;td&gt;4 Sets of 4 Reps &lt;/td&gt;&lt;td&gt;80%&lt;/td&gt;&lt;td&gt;${percent(s, 80)}&lt;/td&gt;&lt;/tr&gt;</v>
      </c>
    </row>
    <row r="569" spans="1:6" ht="15" customHeight="1" x14ac:dyDescent="0.25">
      <c r="A569" s="71"/>
      <c r="B569" s="8"/>
      <c r="C569" s="76"/>
      <c r="D569" s="8" t="str">
        <f t="shared" si="133"/>
        <v/>
      </c>
      <c r="E569" s="8" t="str" cm="1">
        <f t="array" ref="E569">GetColorMatchValue(C569, $C$3:$C$10)</f>
        <v/>
      </c>
      <c r="F569" s="89" t="s">
        <v>193</v>
      </c>
    </row>
    <row r="570" spans="1:6" ht="15" customHeight="1" x14ac:dyDescent="0.25">
      <c r="A570" s="72" t="s">
        <v>43</v>
      </c>
      <c r="B570" s="8"/>
      <c r="C570" s="76"/>
      <c r="D570" s="8" t="str">
        <f t="shared" si="133"/>
        <v/>
      </c>
      <c r="E570" s="8" t="str" cm="1">
        <f t="array" ref="E570">GetColorMatchValue(C570, $C$3:$C$10)</f>
        <v/>
      </c>
      <c r="F570" s="88" t="str">
        <f>"&lt;tr&gt;&lt;th colspan=""3""&gt;"&amp;A570&amp;"&lt;/th&gt;&lt;/tr&gt;"</f>
        <v>&lt;tr&gt;&lt;th colspan="3"&gt;Clean + Jerk&lt;/th&gt;&lt;/tr&gt;</v>
      </c>
    </row>
    <row r="571" spans="1:6" ht="15" customHeight="1" x14ac:dyDescent="0.25">
      <c r="A571" s="71" t="s">
        <v>115</v>
      </c>
      <c r="B571" s="7">
        <v>0.6</v>
      </c>
      <c r="C571" s="82">
        <f t="shared" ref="C571:C573" si="149">$B$8*B571</f>
        <v>69</v>
      </c>
      <c r="D571" s="8">
        <f t="shared" si="133"/>
        <v>60</v>
      </c>
      <c r="E571" s="8" t="str" cm="1">
        <f t="array" ref="E571">GetColorMatchValue(C571, $C$3:$C$10)</f>
        <v>cj</v>
      </c>
      <c r="F571" s="88" t="str">
        <f t="shared" ref="F571:F573" si="150">"&lt;tr&gt;&lt;td&gt;"&amp;A571&amp;"&lt;/td&gt;&lt;td&gt;"&amp;D571&amp;"%&lt;/td&gt;&lt;td&gt;${percent("&amp;E571&amp;", "&amp;D571&amp;")}&lt;/td&gt;&lt;/tr&gt;"</f>
        <v>&lt;tr&gt;&lt;td&gt;1 Set of 1 Cl. + 3 Jr. &lt;/td&gt;&lt;td&gt;60%&lt;/td&gt;&lt;td&gt;${percent(cj, 60)}&lt;/td&gt;&lt;/tr&gt;</v>
      </c>
    </row>
    <row r="572" spans="1:6" ht="15" customHeight="1" x14ac:dyDescent="0.25">
      <c r="A572" s="71" t="s">
        <v>115</v>
      </c>
      <c r="B572" s="7">
        <v>0.7</v>
      </c>
      <c r="C572" s="82">
        <f t="shared" si="149"/>
        <v>80.5</v>
      </c>
      <c r="D572" s="8">
        <f t="shared" si="133"/>
        <v>70</v>
      </c>
      <c r="E572" s="8" t="str" cm="1">
        <f t="array" ref="E572">GetColorMatchValue(C572, $C$3:$C$10)</f>
        <v>cj</v>
      </c>
      <c r="F572" s="88" t="str">
        <f t="shared" si="150"/>
        <v>&lt;tr&gt;&lt;td&gt;1 Set of 1 Cl. + 3 Jr. &lt;/td&gt;&lt;td&gt;70%&lt;/td&gt;&lt;td&gt;${percent(cj, 70)}&lt;/td&gt;&lt;/tr&gt;</v>
      </c>
    </row>
    <row r="573" spans="1:6" ht="15" customHeight="1" x14ac:dyDescent="0.25">
      <c r="A573" s="71" t="s">
        <v>129</v>
      </c>
      <c r="B573" s="7">
        <v>0.8</v>
      </c>
      <c r="C573" s="82">
        <f t="shared" si="149"/>
        <v>92</v>
      </c>
      <c r="D573" s="8">
        <f t="shared" ref="D573:D634" si="151">IF(ISNUMBER(B573), B573 * 100, "")</f>
        <v>80</v>
      </c>
      <c r="E573" s="8" t="str" cm="1">
        <f t="array" ref="E573">GetColorMatchValue(C573, $C$3:$C$10)</f>
        <v>cj</v>
      </c>
      <c r="F573" s="88" t="str">
        <f t="shared" si="150"/>
        <v>&lt;tr&gt;&lt;td&gt;3 Sets of 1 Cl. + 3 Jr. &lt;/td&gt;&lt;td&gt;80%&lt;/td&gt;&lt;td&gt;${percent(cj, 80)}&lt;/td&gt;&lt;/tr&gt;</v>
      </c>
    </row>
    <row r="574" spans="1:6" ht="15" customHeight="1" x14ac:dyDescent="0.25">
      <c r="A574" s="71"/>
      <c r="B574" s="8"/>
      <c r="C574" s="76"/>
      <c r="D574" s="8" t="str">
        <f t="shared" si="151"/>
        <v/>
      </c>
      <c r="E574" s="8" t="str" cm="1">
        <f t="array" ref="E574">GetColorMatchValue(C574, $C$3:$C$10)</f>
        <v/>
      </c>
      <c r="F574" s="89" t="s">
        <v>193</v>
      </c>
    </row>
    <row r="575" spans="1:6" ht="15" customHeight="1" x14ac:dyDescent="0.25">
      <c r="A575" s="72" t="s">
        <v>90</v>
      </c>
      <c r="B575" s="8"/>
      <c r="C575" s="76"/>
      <c r="D575" s="8" t="str">
        <f t="shared" si="151"/>
        <v/>
      </c>
      <c r="E575" s="8" t="str" cm="1">
        <f t="array" ref="E575">GetColorMatchValue(C575, $C$3:$C$10)</f>
        <v/>
      </c>
      <c r="F575" s="88" t="str">
        <f>"&lt;tr&gt;&lt;th colspan=""3""&gt;"&amp;A575&amp;"&lt;/th&gt;&lt;/tr&gt;"</f>
        <v>&lt;tr&gt;&lt;th colspan="3"&gt;Snatch Pull from Blocks Below the Knee &lt;/th&gt;&lt;/tr&gt;</v>
      </c>
    </row>
    <row r="576" spans="1:6" ht="15" customHeight="1" x14ac:dyDescent="0.25">
      <c r="A576" s="71" t="s">
        <v>105</v>
      </c>
      <c r="B576" s="7">
        <v>0.85</v>
      </c>
      <c r="C576" s="78">
        <f t="shared" ref="C576:C577" si="152">$B$7*B576</f>
        <v>80.75</v>
      </c>
      <c r="D576" s="8">
        <f t="shared" si="151"/>
        <v>85</v>
      </c>
      <c r="E576" s="8" t="str" cm="1">
        <f t="array" ref="E576">GetColorMatchValue(C576, $C$3:$C$10)</f>
        <v>s</v>
      </c>
      <c r="F576" s="88" t="str">
        <f t="shared" ref="F576:F577" si="153">"&lt;tr&gt;&lt;td&gt;"&amp;A576&amp;"&lt;/td&gt;&lt;td&gt;"&amp;D576&amp;"%&lt;/td&gt;&lt;td&gt;${percent("&amp;E576&amp;", "&amp;D576&amp;")}&lt;/td&gt;&lt;/tr&gt;"</f>
        <v>&lt;tr&gt;&lt;td&gt;1 Set of 4 Reps &lt;/td&gt;&lt;td&gt;85%&lt;/td&gt;&lt;td&gt;${percent(s, 85)}&lt;/td&gt;&lt;/tr&gt;</v>
      </c>
    </row>
    <row r="577" spans="1:6" ht="15" customHeight="1" x14ac:dyDescent="0.25">
      <c r="A577" s="71" t="s">
        <v>110</v>
      </c>
      <c r="B577" s="7">
        <v>0.95</v>
      </c>
      <c r="C577" s="78">
        <f t="shared" si="152"/>
        <v>90.25</v>
      </c>
      <c r="D577" s="8">
        <f t="shared" si="151"/>
        <v>95</v>
      </c>
      <c r="E577" s="8" t="str" cm="1">
        <f t="array" ref="E577">GetColorMatchValue(C577, $C$3:$C$10)</f>
        <v>s</v>
      </c>
      <c r="F577" s="88" t="str">
        <f t="shared" si="153"/>
        <v>&lt;tr&gt;&lt;td&gt;3 Sets of 4 Reps &lt;/td&gt;&lt;td&gt;95%&lt;/td&gt;&lt;td&gt;${percent(s, 95)}&lt;/td&gt;&lt;/tr&gt;</v>
      </c>
    </row>
    <row r="578" spans="1:6" ht="15" customHeight="1" x14ac:dyDescent="0.25">
      <c r="A578" s="71"/>
      <c r="B578" s="8"/>
      <c r="C578" s="76"/>
      <c r="D578" s="8" t="str">
        <f t="shared" si="151"/>
        <v/>
      </c>
      <c r="E578" s="8" t="str" cm="1">
        <f t="array" ref="E578">GetColorMatchValue(C578, $C$3:$C$10)</f>
        <v/>
      </c>
      <c r="F578" s="89" t="s">
        <v>193</v>
      </c>
    </row>
    <row r="579" spans="1:6" ht="15" customHeight="1" x14ac:dyDescent="0.25">
      <c r="A579" s="72" t="s">
        <v>23</v>
      </c>
      <c r="B579" s="8"/>
      <c r="C579" s="76"/>
      <c r="D579" s="8" t="str">
        <f t="shared" si="151"/>
        <v/>
      </c>
      <c r="E579" s="8" t="str" cm="1">
        <f t="array" ref="E579">GetColorMatchValue(C579, $C$3:$C$10)</f>
        <v/>
      </c>
      <c r="F579" s="88" t="str">
        <f>"&lt;tr&gt;&lt;th colspan=""3""&gt;"&amp;A579&amp;"&lt;/th&gt;&lt;/tr&gt;"</f>
        <v>&lt;tr&gt;&lt;th colspan="3"&gt;Push Press&lt;/th&gt;&lt;/tr&gt;</v>
      </c>
    </row>
    <row r="580" spans="1:6" ht="15" customHeight="1" x14ac:dyDescent="0.25">
      <c r="A580" s="71" t="s">
        <v>105</v>
      </c>
      <c r="B580" s="7">
        <v>0.6</v>
      </c>
      <c r="C580" s="81">
        <f t="shared" ref="C580:C582" si="154">$B$10*B580</f>
        <v>48</v>
      </c>
      <c r="D580" s="8">
        <f t="shared" si="151"/>
        <v>60</v>
      </c>
      <c r="E580" s="8" t="str" cm="1">
        <f t="array" ref="E580">GetColorMatchValue(C580, $C$3:$C$10)</f>
        <v>pp</v>
      </c>
      <c r="F580" s="88" t="str">
        <f t="shared" ref="F580:F582" si="155">"&lt;tr&gt;&lt;td&gt;"&amp;A580&amp;"&lt;/td&gt;&lt;td&gt;"&amp;D580&amp;"%&lt;/td&gt;&lt;td&gt;${percent("&amp;E580&amp;", "&amp;D580&amp;")}&lt;/td&gt;&lt;/tr&gt;"</f>
        <v>&lt;tr&gt;&lt;td&gt;1 Set of 4 Reps &lt;/td&gt;&lt;td&gt;60%&lt;/td&gt;&lt;td&gt;${percent(pp, 60)}&lt;/td&gt;&lt;/tr&gt;</v>
      </c>
    </row>
    <row r="581" spans="1:6" ht="15" customHeight="1" x14ac:dyDescent="0.25">
      <c r="A581" s="71" t="s">
        <v>105</v>
      </c>
      <c r="B581" s="7">
        <v>0.65</v>
      </c>
      <c r="C581" s="81">
        <f t="shared" si="154"/>
        <v>52</v>
      </c>
      <c r="D581" s="8">
        <f t="shared" si="151"/>
        <v>65</v>
      </c>
      <c r="E581" s="8" t="str" cm="1">
        <f t="array" ref="E581">GetColorMatchValue(C581, $C$3:$C$10)</f>
        <v>pp</v>
      </c>
      <c r="F581" s="88" t="str">
        <f t="shared" si="155"/>
        <v>&lt;tr&gt;&lt;td&gt;1 Set of 4 Reps &lt;/td&gt;&lt;td&gt;65%&lt;/td&gt;&lt;td&gt;${percent(pp, 65)}&lt;/td&gt;&lt;/tr&gt;</v>
      </c>
    </row>
    <row r="582" spans="1:6" ht="15" customHeight="1" x14ac:dyDescent="0.25">
      <c r="A582" s="71" t="s">
        <v>130</v>
      </c>
      <c r="B582" s="7">
        <v>0.7</v>
      </c>
      <c r="C582" s="81">
        <f t="shared" si="154"/>
        <v>56</v>
      </c>
      <c r="D582" s="8">
        <f t="shared" si="151"/>
        <v>70</v>
      </c>
      <c r="E582" s="8" t="str" cm="1">
        <f t="array" ref="E582">GetColorMatchValue(C582, $C$3:$C$10)</f>
        <v>pp</v>
      </c>
      <c r="F582" s="88" t="str">
        <f t="shared" si="155"/>
        <v>&lt;tr&gt;&lt;td&gt;3 Sets of 3 Reps &lt;/td&gt;&lt;td&gt;70%&lt;/td&gt;&lt;td&gt;${percent(pp, 70)}&lt;/td&gt;&lt;/tr&gt;</v>
      </c>
    </row>
    <row r="583" spans="1:6" ht="15" customHeight="1" x14ac:dyDescent="0.25">
      <c r="A583" s="71"/>
      <c r="B583" s="8"/>
      <c r="C583" s="76"/>
      <c r="D583" s="8" t="str">
        <f t="shared" si="151"/>
        <v/>
      </c>
      <c r="E583" s="8" t="str" cm="1">
        <f t="array" ref="E583">GetColorMatchValue(C583, $C$3:$C$10)</f>
        <v/>
      </c>
      <c r="F583" s="89" t="s">
        <v>193</v>
      </c>
    </row>
    <row r="584" spans="1:6" ht="15" customHeight="1" x14ac:dyDescent="0.25">
      <c r="A584" s="72" t="s">
        <v>65</v>
      </c>
      <c r="B584" s="8"/>
      <c r="C584" s="76"/>
      <c r="D584" s="8" t="str">
        <f t="shared" si="151"/>
        <v/>
      </c>
      <c r="E584" s="8" t="str" cm="1">
        <f t="array" ref="E584">GetColorMatchValue(C584, $C$3:$C$10)</f>
        <v/>
      </c>
      <c r="F584" s="88" t="str">
        <f>"&lt;tr&gt;&lt;th colspan=""3""&gt;"&amp;A584&amp;"&lt;/th&gt;&lt;/tr&gt;"</f>
        <v>&lt;tr&gt;&lt;th colspan="3"&gt;Good Morning&lt;/th&gt;&lt;/tr&gt;</v>
      </c>
    </row>
    <row r="585" spans="1:6" ht="15" customHeight="1" x14ac:dyDescent="0.25">
      <c r="A585" s="71" t="s">
        <v>202</v>
      </c>
      <c r="B585" s="71" t="s">
        <v>198</v>
      </c>
      <c r="C585" s="76"/>
      <c r="D585" s="8" t="str">
        <f t="shared" si="151"/>
        <v/>
      </c>
      <c r="E585" s="8" t="str" cm="1">
        <f t="array" ref="E585">GetColorMatchValue(C585, $C$3:$C$10)</f>
        <v/>
      </c>
      <c r="F585" s="88" t="str">
        <f>"&lt;tr&gt;&lt;td colspan=""3""&gt;"&amp;A585&amp;" "&amp;B585&amp;"&lt;/td&gt;&lt;/tr&gt;"</f>
        <v>&lt;tr&gt;&lt;td colspan="3"&gt;4 Sets of 8 Reps Work up to weight where you can maintain proper form.&lt;/td&gt;&lt;/tr&gt;</v>
      </c>
    </row>
    <row r="586" spans="1:6" ht="15" customHeight="1" x14ac:dyDescent="0.25">
      <c r="A586" s="90" t="s">
        <v>77</v>
      </c>
      <c r="B586" s="74" t="s">
        <v>93</v>
      </c>
      <c r="C586" s="75" t="s">
        <v>94</v>
      </c>
      <c r="D586" s="74" t="s">
        <v>192</v>
      </c>
      <c r="E586" s="75" t="s">
        <v>190</v>
      </c>
      <c r="F586" s="91" t="s">
        <v>191</v>
      </c>
    </row>
    <row r="587" spans="1:6" ht="15" customHeight="1" x14ac:dyDescent="0.25">
      <c r="A587" s="72" t="s">
        <v>0</v>
      </c>
      <c r="B587" s="8"/>
      <c r="C587" s="76"/>
      <c r="D587" s="8" t="str">
        <f t="shared" si="151"/>
        <v/>
      </c>
      <c r="E587" s="8" t="str" cm="1">
        <f t="array" ref="E587">GetColorMatchValue(C587, $C$3:$C$10)</f>
        <v/>
      </c>
      <c r="F587" s="88" t="str">
        <f>"&lt;tr&gt;&lt;th colspan=""3""&gt;"&amp;A587&amp;"&lt;/th&gt;&lt;/tr&gt;"</f>
        <v>&lt;tr&gt;&lt;th colspan="3"&gt;Back Squat&lt;/th&gt;&lt;/tr&gt;</v>
      </c>
    </row>
    <row r="588" spans="1:6" ht="15" customHeight="1" x14ac:dyDescent="0.25">
      <c r="A588" s="71" t="s">
        <v>95</v>
      </c>
      <c r="B588" s="7">
        <v>0.6</v>
      </c>
      <c r="C588" s="77">
        <f>$B$3*B588</f>
        <v>120</v>
      </c>
      <c r="D588" s="8">
        <f t="shared" si="151"/>
        <v>60</v>
      </c>
      <c r="E588" s="8" t="str" cm="1">
        <f t="array" ref="E588">GetColorMatchValue(C588, $C$3:$C$10)</f>
        <v>bs</v>
      </c>
      <c r="F588" s="88" t="str">
        <f t="shared" ref="F588:F592" si="156">"&lt;tr&gt;&lt;td&gt;"&amp;A588&amp;"&lt;/td&gt;&lt;td&gt;"&amp;D588&amp;"%&lt;/td&gt;&lt;td&gt;${percent("&amp;E588&amp;", "&amp;D588&amp;")}&lt;/td&gt;&lt;/tr&gt;"</f>
        <v>&lt;tr&gt;&lt;td&gt;1 Set of 3 Reps &lt;/td&gt;&lt;td&gt;60%&lt;/td&gt;&lt;td&gt;${percent(bs, 60)}&lt;/td&gt;&lt;/tr&gt;</v>
      </c>
    </row>
    <row r="589" spans="1:6" ht="15" customHeight="1" x14ac:dyDescent="0.25">
      <c r="A589" s="71" t="s">
        <v>95</v>
      </c>
      <c r="B589" s="7">
        <v>0.7</v>
      </c>
      <c r="C589" s="77">
        <f>$B$3*B589</f>
        <v>140</v>
      </c>
      <c r="D589" s="8">
        <f t="shared" si="151"/>
        <v>70</v>
      </c>
      <c r="E589" s="8" t="str" cm="1">
        <f t="array" ref="E589">GetColorMatchValue(C589, $C$3:$C$10)</f>
        <v>bs</v>
      </c>
      <c r="F589" s="88" t="str">
        <f t="shared" si="156"/>
        <v>&lt;tr&gt;&lt;td&gt;1 Set of 3 Reps &lt;/td&gt;&lt;td&gt;70%&lt;/td&gt;&lt;td&gt;${percent(bs, 70)}&lt;/td&gt;&lt;/tr&gt;</v>
      </c>
    </row>
    <row r="590" spans="1:6" ht="15" customHeight="1" x14ac:dyDescent="0.25">
      <c r="A590" s="71" t="s">
        <v>95</v>
      </c>
      <c r="B590" s="7">
        <v>0.8</v>
      </c>
      <c r="C590" s="77">
        <f>$B$3*B590</f>
        <v>160</v>
      </c>
      <c r="D590" s="8">
        <f t="shared" si="151"/>
        <v>80</v>
      </c>
      <c r="E590" s="8" t="str" cm="1">
        <f t="array" ref="E590">GetColorMatchValue(C590, $C$3:$C$10)</f>
        <v>bs</v>
      </c>
      <c r="F590" s="88" t="str">
        <f t="shared" si="156"/>
        <v>&lt;tr&gt;&lt;td&gt;1 Set of 3 Reps &lt;/td&gt;&lt;td&gt;80%&lt;/td&gt;&lt;td&gt;${percent(bs, 80)}&lt;/td&gt;&lt;/tr&gt;</v>
      </c>
    </row>
    <row r="591" spans="1:6" ht="15" customHeight="1" x14ac:dyDescent="0.25">
      <c r="A591" s="71" t="s">
        <v>95</v>
      </c>
      <c r="B591" s="7">
        <v>0.85</v>
      </c>
      <c r="C591" s="77">
        <f>$B$3*B591</f>
        <v>170</v>
      </c>
      <c r="D591" s="8">
        <f t="shared" si="151"/>
        <v>85</v>
      </c>
      <c r="E591" s="8" t="str" cm="1">
        <f t="array" ref="E591">GetColorMatchValue(C591, $C$3:$C$10)</f>
        <v>bs</v>
      </c>
      <c r="F591" s="88" t="str">
        <f t="shared" si="156"/>
        <v>&lt;tr&gt;&lt;td&gt;1 Set of 3 Reps &lt;/td&gt;&lt;td&gt;85%&lt;/td&gt;&lt;td&gt;${percent(bs, 85)}&lt;/td&gt;&lt;/tr&gt;</v>
      </c>
    </row>
    <row r="592" spans="1:6" ht="15" customHeight="1" x14ac:dyDescent="0.25">
      <c r="A592" s="71" t="s">
        <v>95</v>
      </c>
      <c r="B592" s="7">
        <v>0.8</v>
      </c>
      <c r="C592" s="77">
        <f>$B$3*B592</f>
        <v>160</v>
      </c>
      <c r="D592" s="8">
        <f t="shared" si="151"/>
        <v>80</v>
      </c>
      <c r="E592" s="8" t="str" cm="1">
        <f t="array" ref="E592">GetColorMatchValue(C592, $C$3:$C$10)</f>
        <v>bs</v>
      </c>
      <c r="F592" s="88" t="str">
        <f t="shared" si="156"/>
        <v>&lt;tr&gt;&lt;td&gt;1 Set of 3 Reps &lt;/td&gt;&lt;td&gt;80%&lt;/td&gt;&lt;td&gt;${percent(bs, 80)}&lt;/td&gt;&lt;/tr&gt;</v>
      </c>
    </row>
    <row r="593" spans="1:6" ht="15" customHeight="1" x14ac:dyDescent="0.25">
      <c r="A593" s="71"/>
      <c r="B593" s="8"/>
      <c r="C593" s="76"/>
      <c r="D593" s="8" t="str">
        <f t="shared" si="151"/>
        <v/>
      </c>
      <c r="E593" s="8" t="str" cm="1">
        <f t="array" ref="E593">GetColorMatchValue(C593, $C$3:$C$10)</f>
        <v/>
      </c>
      <c r="F593" s="89" t="s">
        <v>193</v>
      </c>
    </row>
    <row r="594" spans="1:6" ht="15" customHeight="1" x14ac:dyDescent="0.25">
      <c r="A594" s="72" t="s">
        <v>80</v>
      </c>
      <c r="B594" s="8"/>
      <c r="C594" s="76"/>
      <c r="D594" s="8" t="str">
        <f t="shared" si="151"/>
        <v/>
      </c>
      <c r="E594" s="8" t="str" cm="1">
        <f t="array" ref="E594">GetColorMatchValue(C594, $C$3:$C$10)</f>
        <v/>
      </c>
      <c r="F594" s="88" t="str">
        <f>"&lt;tr&gt;&lt;th colspan=""3""&gt;"&amp;A594&amp;"&lt;/th&gt;&lt;/tr&gt;"</f>
        <v>&lt;tr&gt;&lt;th colspan="3"&gt;Power Snatch + Overhead Squat&lt;/th&gt;&lt;/tr&gt;</v>
      </c>
    </row>
    <row r="595" spans="1:6" ht="15" customHeight="1" x14ac:dyDescent="0.25">
      <c r="A595" s="71" t="s">
        <v>146</v>
      </c>
      <c r="B595" s="7">
        <v>0.6</v>
      </c>
      <c r="C595" s="78">
        <f t="shared" ref="C595:C597" si="157">$B$7*B595</f>
        <v>57</v>
      </c>
      <c r="D595" s="8">
        <f t="shared" si="151"/>
        <v>60</v>
      </c>
      <c r="E595" s="8" t="str" cm="1">
        <f t="array" ref="E595">GetColorMatchValue(C595, $C$3:$C$10)</f>
        <v>s</v>
      </c>
      <c r="F595" s="88" t="str">
        <f t="shared" ref="F595:F597" si="158">"&lt;tr&gt;&lt;td&gt;"&amp;A595&amp;"&lt;/td&gt;&lt;td&gt;"&amp;D595&amp;"%&lt;/td&gt;&lt;td&gt;${percent("&amp;E595&amp;", "&amp;D595&amp;")}&lt;/td&gt;&lt;/tr&gt;"</f>
        <v>&lt;tr&gt;&lt;td&gt;1 Set of 3 P.Sn. + 3 Oh.S. &lt;/td&gt;&lt;td&gt;60%&lt;/td&gt;&lt;td&gt;${percent(s, 60)}&lt;/td&gt;&lt;/tr&gt;</v>
      </c>
    </row>
    <row r="596" spans="1:6" ht="15" customHeight="1" x14ac:dyDescent="0.25">
      <c r="A596" s="71" t="s">
        <v>146</v>
      </c>
      <c r="B596" s="7">
        <v>0.65</v>
      </c>
      <c r="C596" s="78">
        <f t="shared" si="157"/>
        <v>61.75</v>
      </c>
      <c r="D596" s="8">
        <f t="shared" si="151"/>
        <v>65</v>
      </c>
      <c r="E596" s="8" t="str" cm="1">
        <f t="array" ref="E596">GetColorMatchValue(C596, $C$3:$C$10)</f>
        <v>s</v>
      </c>
      <c r="F596" s="88" t="str">
        <f t="shared" si="158"/>
        <v>&lt;tr&gt;&lt;td&gt;1 Set of 3 P.Sn. + 3 Oh.S. &lt;/td&gt;&lt;td&gt;65%&lt;/td&gt;&lt;td&gt;${percent(s, 65)}&lt;/td&gt;&lt;/tr&gt;</v>
      </c>
    </row>
    <row r="597" spans="1:6" ht="15" customHeight="1" x14ac:dyDescent="0.25">
      <c r="A597" s="71" t="s">
        <v>147</v>
      </c>
      <c r="B597" s="7">
        <v>0.7</v>
      </c>
      <c r="C597" s="78">
        <f t="shared" si="157"/>
        <v>66.5</v>
      </c>
      <c r="D597" s="8">
        <f t="shared" si="151"/>
        <v>70</v>
      </c>
      <c r="E597" s="8" t="str" cm="1">
        <f t="array" ref="E597">GetColorMatchValue(C597, $C$3:$C$10)</f>
        <v>s</v>
      </c>
      <c r="F597" s="88" t="str">
        <f t="shared" si="158"/>
        <v>&lt;tr&gt;&lt;td&gt;2 Sets of 3 P.Sn. + 3 Oh.S. &lt;/td&gt;&lt;td&gt;70%&lt;/td&gt;&lt;td&gt;${percent(s, 70)}&lt;/td&gt;&lt;/tr&gt;</v>
      </c>
    </row>
    <row r="598" spans="1:6" ht="15" customHeight="1" x14ac:dyDescent="0.25">
      <c r="A598" s="71"/>
      <c r="B598" s="8"/>
      <c r="C598" s="76"/>
      <c r="D598" s="8" t="str">
        <f t="shared" si="151"/>
        <v/>
      </c>
      <c r="E598" s="8" t="str" cm="1">
        <f t="array" ref="E598">GetColorMatchValue(C598, $C$3:$C$10)</f>
        <v/>
      </c>
      <c r="F598" s="89" t="s">
        <v>193</v>
      </c>
    </row>
    <row r="599" spans="1:6" ht="15" customHeight="1" x14ac:dyDescent="0.25">
      <c r="A599" s="72" t="s">
        <v>30</v>
      </c>
      <c r="B599" s="8"/>
      <c r="C599" s="76"/>
      <c r="D599" s="8" t="str">
        <f t="shared" si="151"/>
        <v/>
      </c>
      <c r="E599" s="8" t="str" cm="1">
        <f t="array" ref="E599">GetColorMatchValue(C599, $C$3:$C$10)</f>
        <v/>
      </c>
      <c r="F599" s="88" t="str">
        <f>"&lt;tr&gt;&lt;th colspan=""3""&gt;"&amp;A599&amp;"&lt;/th&gt;&lt;/tr&gt;"</f>
        <v>&lt;tr&gt;&lt;th colspan="3"&gt;Power Clean + Push Jerk&lt;/th&gt;&lt;/tr&gt;</v>
      </c>
    </row>
    <row r="600" spans="1:6" ht="15" customHeight="1" x14ac:dyDescent="0.25">
      <c r="A600" s="71" t="s">
        <v>139</v>
      </c>
      <c r="B600" s="7">
        <v>0.6</v>
      </c>
      <c r="C600" s="82">
        <f t="shared" ref="C600:C602" si="159">$B$8*B600</f>
        <v>69</v>
      </c>
      <c r="D600" s="8">
        <f t="shared" si="151"/>
        <v>60</v>
      </c>
      <c r="E600" s="8" t="str" cm="1">
        <f t="array" ref="E600">GetColorMatchValue(C600, $C$3:$C$10)</f>
        <v>cj</v>
      </c>
      <c r="F600" s="88" t="str">
        <f t="shared" ref="F600:F602" si="160">"&lt;tr&gt;&lt;td&gt;"&amp;A600&amp;"&lt;/td&gt;&lt;td&gt;"&amp;D600&amp;"%&lt;/td&gt;&lt;td&gt;${percent("&amp;E600&amp;", "&amp;D600&amp;")}&lt;/td&gt;&lt;/tr&gt;"</f>
        <v>&lt;tr&gt;&lt;td&gt;1 Set of 3 P.Cl. + 1 P.Jr. &lt;/td&gt;&lt;td&gt;60%&lt;/td&gt;&lt;td&gt;${percent(cj, 60)}&lt;/td&gt;&lt;/tr&gt;</v>
      </c>
    </row>
    <row r="601" spans="1:6" ht="15" customHeight="1" x14ac:dyDescent="0.25">
      <c r="A601" s="71" t="s">
        <v>139</v>
      </c>
      <c r="B601" s="7">
        <v>0.65</v>
      </c>
      <c r="C601" s="82">
        <f t="shared" si="159"/>
        <v>74.75</v>
      </c>
      <c r="D601" s="8">
        <f t="shared" si="151"/>
        <v>65</v>
      </c>
      <c r="E601" s="8" t="str" cm="1">
        <f t="array" ref="E601">GetColorMatchValue(C601, $C$3:$C$10)</f>
        <v>cj</v>
      </c>
      <c r="F601" s="88" t="str">
        <f t="shared" si="160"/>
        <v>&lt;tr&gt;&lt;td&gt;1 Set of 3 P.Cl. + 1 P.Jr. &lt;/td&gt;&lt;td&gt;65%&lt;/td&gt;&lt;td&gt;${percent(cj, 65)}&lt;/td&gt;&lt;/tr&gt;</v>
      </c>
    </row>
    <row r="602" spans="1:6" ht="15" customHeight="1" x14ac:dyDescent="0.25">
      <c r="A602" s="71" t="s">
        <v>148</v>
      </c>
      <c r="B602" s="7">
        <v>0.7</v>
      </c>
      <c r="C602" s="82">
        <f t="shared" si="159"/>
        <v>80.5</v>
      </c>
      <c r="D602" s="8">
        <f t="shared" si="151"/>
        <v>70</v>
      </c>
      <c r="E602" s="8" t="str" cm="1">
        <f t="array" ref="E602">GetColorMatchValue(C602, $C$3:$C$10)</f>
        <v>cj</v>
      </c>
      <c r="F602" s="88" t="str">
        <f t="shared" si="160"/>
        <v>&lt;tr&gt;&lt;td&gt;3 Sets of 3 P.Cl. + 1 P.Jr. &lt;/td&gt;&lt;td&gt;70%&lt;/td&gt;&lt;td&gt;${percent(cj, 70)}&lt;/td&gt;&lt;/tr&gt;</v>
      </c>
    </row>
    <row r="603" spans="1:6" ht="15" customHeight="1" x14ac:dyDescent="0.25">
      <c r="A603" s="71"/>
      <c r="B603" s="8"/>
      <c r="C603" s="76"/>
      <c r="D603" s="8" t="str">
        <f t="shared" si="151"/>
        <v/>
      </c>
      <c r="E603" s="8" t="str" cm="1">
        <f t="array" ref="E603">GetColorMatchValue(C603, $C$3:$C$10)</f>
        <v/>
      </c>
      <c r="F603" s="89" t="s">
        <v>193</v>
      </c>
    </row>
    <row r="604" spans="1:6" ht="15" customHeight="1" x14ac:dyDescent="0.25">
      <c r="A604" s="72" t="s">
        <v>89</v>
      </c>
      <c r="B604" s="8"/>
      <c r="C604" s="76"/>
      <c r="D604" s="8" t="str">
        <f t="shared" si="151"/>
        <v/>
      </c>
      <c r="E604" s="8" t="str" cm="1">
        <f t="array" ref="E604">GetColorMatchValue(C604, $C$3:$C$10)</f>
        <v/>
      </c>
      <c r="F604" s="88" t="str">
        <f>"&lt;tr&gt;&lt;th colspan=""3""&gt;"&amp;A604&amp;"&lt;/th&gt;&lt;/tr&gt;"</f>
        <v>&lt;tr&gt;&lt;th colspan="3"&gt;Clean Pull &lt;/th&gt;&lt;/tr&gt;</v>
      </c>
    </row>
    <row r="605" spans="1:6" ht="15" customHeight="1" x14ac:dyDescent="0.25">
      <c r="A605" s="71" t="s">
        <v>105</v>
      </c>
      <c r="B605" s="7">
        <v>0.8</v>
      </c>
      <c r="C605" s="80">
        <f t="shared" ref="C605:C609" si="161">$B$6*B605</f>
        <v>88</v>
      </c>
      <c r="D605" s="8">
        <f t="shared" si="151"/>
        <v>80</v>
      </c>
      <c r="E605" s="8" t="str" cm="1">
        <f t="array" ref="E605">GetColorMatchValue(C605, $C$3:$C$10)</f>
        <v>c</v>
      </c>
      <c r="F605" s="88" t="str">
        <f t="shared" ref="F605:F609" si="162">"&lt;tr&gt;&lt;td&gt;"&amp;A605&amp;"&lt;/td&gt;&lt;td&gt;"&amp;D605&amp;"%&lt;/td&gt;&lt;td&gt;${percent("&amp;E605&amp;", "&amp;D605&amp;")}&lt;/td&gt;&lt;/tr&gt;"</f>
        <v>&lt;tr&gt;&lt;td&gt;1 Set of 4 Reps &lt;/td&gt;&lt;td&gt;80%&lt;/td&gt;&lt;td&gt;${percent(c, 80)}&lt;/td&gt;&lt;/tr&gt;</v>
      </c>
    </row>
    <row r="606" spans="1:6" ht="15" customHeight="1" x14ac:dyDescent="0.25">
      <c r="A606" s="71" t="s">
        <v>105</v>
      </c>
      <c r="B606" s="7">
        <v>0.9</v>
      </c>
      <c r="C606" s="80">
        <f t="shared" si="161"/>
        <v>99</v>
      </c>
      <c r="D606" s="8">
        <f t="shared" si="151"/>
        <v>90</v>
      </c>
      <c r="E606" s="8" t="str" cm="1">
        <f t="array" ref="E606">GetColorMatchValue(C606, $C$3:$C$10)</f>
        <v>c</v>
      </c>
      <c r="F606" s="88" t="str">
        <f t="shared" si="162"/>
        <v>&lt;tr&gt;&lt;td&gt;1 Set of 4 Reps &lt;/td&gt;&lt;td&gt;90%&lt;/td&gt;&lt;td&gt;${percent(c, 90)}&lt;/td&gt;&lt;/tr&gt;</v>
      </c>
    </row>
    <row r="607" spans="1:6" ht="15" customHeight="1" x14ac:dyDescent="0.25">
      <c r="A607" s="71" t="s">
        <v>95</v>
      </c>
      <c r="B607" s="7">
        <v>1</v>
      </c>
      <c r="C607" s="80">
        <f t="shared" si="161"/>
        <v>110</v>
      </c>
      <c r="D607" s="8">
        <f t="shared" si="151"/>
        <v>100</v>
      </c>
      <c r="E607" s="8" t="str" cm="1">
        <f t="array" ref="E607">GetColorMatchValue(C607, $C$3:$C$10)</f>
        <v>c</v>
      </c>
      <c r="F607" s="88" t="str">
        <f t="shared" si="162"/>
        <v>&lt;tr&gt;&lt;td&gt;1 Set of 3 Reps &lt;/td&gt;&lt;td&gt;100%&lt;/td&gt;&lt;td&gt;${percent(c, 100)}&lt;/td&gt;&lt;/tr&gt;</v>
      </c>
    </row>
    <row r="608" spans="1:6" ht="15" customHeight="1" x14ac:dyDescent="0.25">
      <c r="A608" s="71" t="s">
        <v>95</v>
      </c>
      <c r="B608" s="7">
        <v>0.85</v>
      </c>
      <c r="C608" s="80">
        <f t="shared" si="161"/>
        <v>93.5</v>
      </c>
      <c r="D608" s="8">
        <f t="shared" si="151"/>
        <v>85</v>
      </c>
      <c r="E608" s="8" t="str" cm="1">
        <f t="array" ref="E608">GetColorMatchValue(C608, $C$3:$C$10)</f>
        <v>c</v>
      </c>
      <c r="F608" s="88" t="str">
        <f t="shared" si="162"/>
        <v>&lt;tr&gt;&lt;td&gt;1 Set of 3 Reps &lt;/td&gt;&lt;td&gt;85%&lt;/td&gt;&lt;td&gt;${percent(c, 85)}&lt;/td&gt;&lt;/tr&gt;</v>
      </c>
    </row>
    <row r="609" spans="1:6" ht="15" customHeight="1" x14ac:dyDescent="0.25">
      <c r="A609" s="71" t="s">
        <v>95</v>
      </c>
      <c r="B609" s="7">
        <v>0.9</v>
      </c>
      <c r="C609" s="80">
        <f t="shared" si="161"/>
        <v>99</v>
      </c>
      <c r="D609" s="8">
        <f t="shared" si="151"/>
        <v>90</v>
      </c>
      <c r="E609" s="8" t="str" cm="1">
        <f t="array" ref="E609">GetColorMatchValue(C609, $C$3:$C$10)</f>
        <v>c</v>
      </c>
      <c r="F609" s="88" t="str">
        <f t="shared" si="162"/>
        <v>&lt;tr&gt;&lt;td&gt;1 Set of 3 Reps &lt;/td&gt;&lt;td&gt;90%&lt;/td&gt;&lt;td&gt;${percent(c, 90)}&lt;/td&gt;&lt;/tr&gt;</v>
      </c>
    </row>
    <row r="610" spans="1:6" ht="15" customHeight="1" x14ac:dyDescent="0.25">
      <c r="A610" s="71"/>
      <c r="B610" s="8"/>
      <c r="C610" s="76"/>
      <c r="D610" s="8" t="str">
        <f t="shared" si="151"/>
        <v/>
      </c>
      <c r="E610" s="8" t="str" cm="1">
        <f t="array" ref="E610">GetColorMatchValue(C610, $C$3:$C$10)</f>
        <v/>
      </c>
      <c r="F610" s="89" t="s">
        <v>193</v>
      </c>
    </row>
    <row r="611" spans="1:6" ht="15" customHeight="1" x14ac:dyDescent="0.25">
      <c r="A611" s="72" t="s">
        <v>81</v>
      </c>
      <c r="B611" s="8"/>
      <c r="C611" s="76"/>
      <c r="D611" s="8" t="str">
        <f t="shared" si="151"/>
        <v/>
      </c>
      <c r="E611" s="8" t="str" cm="1">
        <f t="array" ref="E611">GetColorMatchValue(C611, $C$3:$C$10)</f>
        <v/>
      </c>
      <c r="F611" s="88" t="str">
        <f>"&lt;tr&gt;&lt;th colspan=""3""&gt;"&amp;A611&amp;"&lt;/th&gt;&lt;/tr&gt;"</f>
        <v>&lt;tr&gt;&lt;th colspan="3"&gt;Behind the Neck Snatch Grip Press&lt;/th&gt;&lt;/tr&gt;</v>
      </c>
    </row>
    <row r="612" spans="1:6" ht="15" customHeight="1" x14ac:dyDescent="0.25">
      <c r="A612" s="71" t="s">
        <v>204</v>
      </c>
      <c r="B612" s="71" t="s">
        <v>198</v>
      </c>
      <c r="C612" s="76"/>
      <c r="D612" s="8" t="str">
        <f t="shared" si="151"/>
        <v/>
      </c>
      <c r="E612" s="8" t="str" cm="1">
        <f t="array" ref="E612">GetColorMatchValue(C612, $C$3:$C$10)</f>
        <v/>
      </c>
      <c r="F612" s="88" t="str">
        <f>"&lt;tr&gt;&lt;td colspan=""3""&gt;"&amp;A612&amp;" "&amp;B612&amp;"&lt;/td&gt;&lt;/tr&gt;"</f>
        <v>&lt;tr&gt;&lt;td colspan="3"&gt;4 Sets of 5 Reps Work up to weight where you can maintain proper form.&lt;/td&gt;&lt;/tr&gt;</v>
      </c>
    </row>
    <row r="613" spans="1:6" ht="15" customHeight="1" x14ac:dyDescent="0.25">
      <c r="A613" s="90" t="s">
        <v>78</v>
      </c>
      <c r="B613" s="74" t="s">
        <v>93</v>
      </c>
      <c r="C613" s="75" t="s">
        <v>94</v>
      </c>
      <c r="D613" s="74" t="s">
        <v>192</v>
      </c>
      <c r="E613" s="75" t="s">
        <v>190</v>
      </c>
      <c r="F613" s="91" t="s">
        <v>191</v>
      </c>
    </row>
    <row r="614" spans="1:6" ht="15" customHeight="1" x14ac:dyDescent="0.25">
      <c r="A614" s="72" t="s">
        <v>34</v>
      </c>
      <c r="B614" s="8"/>
      <c r="C614" s="76"/>
      <c r="D614" s="8" t="str">
        <f t="shared" si="151"/>
        <v/>
      </c>
      <c r="E614" s="8" t="str" cm="1">
        <f t="array" ref="E614">GetColorMatchValue(C614, $C$3:$C$10)</f>
        <v/>
      </c>
      <c r="F614" s="88" t="str">
        <f>"&lt;tr&gt;&lt;th colspan=""3""&gt;"&amp;A614&amp;"&lt;/th&gt;&lt;/tr&gt;"</f>
        <v>&lt;tr&gt;&lt;th colspan="3"&gt;Front Squat&lt;/th&gt;&lt;/tr&gt;</v>
      </c>
    </row>
    <row r="615" spans="1:6" ht="15" customHeight="1" x14ac:dyDescent="0.25">
      <c r="A615" s="71" t="s">
        <v>105</v>
      </c>
      <c r="B615" s="7">
        <v>0.6</v>
      </c>
      <c r="C615" s="84">
        <f t="shared" ref="C615:C622" si="163">$B$4*B615</f>
        <v>84</v>
      </c>
      <c r="D615" s="8">
        <f t="shared" si="151"/>
        <v>60</v>
      </c>
      <c r="E615" s="8" t="str" cm="1">
        <f t="array" ref="E615">GetColorMatchValue(C615, $C$3:$C$10)</f>
        <v>fs</v>
      </c>
      <c r="F615" s="88" t="str">
        <f t="shared" ref="F615:F622" si="164">"&lt;tr&gt;&lt;td&gt;"&amp;A615&amp;"&lt;/td&gt;&lt;td&gt;"&amp;D615&amp;"%&lt;/td&gt;&lt;td&gt;${percent("&amp;E615&amp;", "&amp;D615&amp;")}&lt;/td&gt;&lt;/tr&gt;"</f>
        <v>&lt;tr&gt;&lt;td&gt;1 Set of 4 Reps &lt;/td&gt;&lt;td&gt;60%&lt;/td&gt;&lt;td&gt;${percent(fs, 60)}&lt;/td&gt;&lt;/tr&gt;</v>
      </c>
    </row>
    <row r="616" spans="1:6" ht="15" customHeight="1" x14ac:dyDescent="0.25">
      <c r="A616" s="71" t="s">
        <v>105</v>
      </c>
      <c r="B616" s="7">
        <v>0.7</v>
      </c>
      <c r="C616" s="84">
        <f t="shared" si="163"/>
        <v>98</v>
      </c>
      <c r="D616" s="8">
        <f t="shared" si="151"/>
        <v>70</v>
      </c>
      <c r="E616" s="8" t="str" cm="1">
        <f t="array" ref="E616">GetColorMatchValue(C616, $C$3:$C$10)</f>
        <v>fs</v>
      </c>
      <c r="F616" s="88" t="str">
        <f t="shared" si="164"/>
        <v>&lt;tr&gt;&lt;td&gt;1 Set of 4 Reps &lt;/td&gt;&lt;td&gt;70%&lt;/td&gt;&lt;td&gt;${percent(fs, 70)}&lt;/td&gt;&lt;/tr&gt;</v>
      </c>
    </row>
    <row r="617" spans="1:6" ht="15" customHeight="1" x14ac:dyDescent="0.25">
      <c r="A617" s="71" t="s">
        <v>105</v>
      </c>
      <c r="B617" s="7">
        <v>0.8</v>
      </c>
      <c r="C617" s="84">
        <f t="shared" si="163"/>
        <v>112</v>
      </c>
      <c r="D617" s="8">
        <f t="shared" si="151"/>
        <v>80</v>
      </c>
      <c r="E617" s="8" t="str" cm="1">
        <f t="array" ref="E617">GetColorMatchValue(C617, $C$3:$C$10)</f>
        <v>fs</v>
      </c>
      <c r="F617" s="88" t="str">
        <f t="shared" si="164"/>
        <v>&lt;tr&gt;&lt;td&gt;1 Set of 4 Reps &lt;/td&gt;&lt;td&gt;80%&lt;/td&gt;&lt;td&gt;${percent(fs, 80)}&lt;/td&gt;&lt;/tr&gt;</v>
      </c>
    </row>
    <row r="618" spans="1:6" ht="15" customHeight="1" x14ac:dyDescent="0.25">
      <c r="A618" s="71" t="s">
        <v>105</v>
      </c>
      <c r="B618" s="7">
        <v>0.85</v>
      </c>
      <c r="C618" s="84">
        <f t="shared" si="163"/>
        <v>119</v>
      </c>
      <c r="D618" s="8">
        <f t="shared" si="151"/>
        <v>85</v>
      </c>
      <c r="E618" s="8" t="str" cm="1">
        <f t="array" ref="E618">GetColorMatchValue(C618, $C$3:$C$10)</f>
        <v>fs</v>
      </c>
      <c r="F618" s="88" t="str">
        <f t="shared" si="164"/>
        <v>&lt;tr&gt;&lt;td&gt;1 Set of 4 Reps &lt;/td&gt;&lt;td&gt;85%&lt;/td&gt;&lt;td&gt;${percent(fs, 85)}&lt;/td&gt;&lt;/tr&gt;</v>
      </c>
    </row>
    <row r="619" spans="1:6" ht="15" customHeight="1" x14ac:dyDescent="0.25">
      <c r="A619" s="71" t="s">
        <v>95</v>
      </c>
      <c r="B619" s="7">
        <v>0.8</v>
      </c>
      <c r="C619" s="84">
        <f t="shared" si="163"/>
        <v>112</v>
      </c>
      <c r="D619" s="8">
        <f t="shared" si="151"/>
        <v>80</v>
      </c>
      <c r="E619" s="8" t="str" cm="1">
        <f t="array" ref="E619">GetColorMatchValue(C619, $C$3:$C$10)</f>
        <v>fs</v>
      </c>
      <c r="F619" s="88" t="str">
        <f t="shared" si="164"/>
        <v>&lt;tr&gt;&lt;td&gt;1 Set of 3 Reps &lt;/td&gt;&lt;td&gt;80%&lt;/td&gt;&lt;td&gt;${percent(fs, 80)}&lt;/td&gt;&lt;/tr&gt;</v>
      </c>
    </row>
    <row r="620" spans="1:6" ht="15" customHeight="1" x14ac:dyDescent="0.25">
      <c r="A620" s="71" t="s">
        <v>95</v>
      </c>
      <c r="B620" s="7">
        <v>0.85</v>
      </c>
      <c r="C620" s="84">
        <f t="shared" si="163"/>
        <v>119</v>
      </c>
      <c r="D620" s="8">
        <f t="shared" si="151"/>
        <v>85</v>
      </c>
      <c r="E620" s="8" t="str" cm="1">
        <f t="array" ref="E620">GetColorMatchValue(C620, $C$3:$C$10)</f>
        <v>fs</v>
      </c>
      <c r="F620" s="88" t="str">
        <f t="shared" si="164"/>
        <v>&lt;tr&gt;&lt;td&gt;1 Set of 3 Reps &lt;/td&gt;&lt;td&gt;85%&lt;/td&gt;&lt;td&gt;${percent(fs, 85)}&lt;/td&gt;&lt;/tr&gt;</v>
      </c>
    </row>
    <row r="621" spans="1:6" ht="15" customHeight="1" x14ac:dyDescent="0.25">
      <c r="A621" s="71" t="s">
        <v>95</v>
      </c>
      <c r="B621" s="7">
        <v>0.8</v>
      </c>
      <c r="C621" s="84">
        <f t="shared" si="163"/>
        <v>112</v>
      </c>
      <c r="D621" s="8">
        <f t="shared" si="151"/>
        <v>80</v>
      </c>
      <c r="E621" s="8" t="str" cm="1">
        <f t="array" ref="E621">GetColorMatchValue(C621, $C$3:$C$10)</f>
        <v>fs</v>
      </c>
      <c r="F621" s="88" t="str">
        <f t="shared" si="164"/>
        <v>&lt;tr&gt;&lt;td&gt;1 Set of 3 Reps &lt;/td&gt;&lt;td&gt;80%&lt;/td&gt;&lt;td&gt;${percent(fs, 80)}&lt;/td&gt;&lt;/tr&gt;</v>
      </c>
    </row>
    <row r="622" spans="1:6" ht="15" customHeight="1" x14ac:dyDescent="0.25">
      <c r="A622" s="71" t="s">
        <v>95</v>
      </c>
      <c r="B622" s="7">
        <v>0.85</v>
      </c>
      <c r="C622" s="84">
        <f t="shared" si="163"/>
        <v>119</v>
      </c>
      <c r="D622" s="8">
        <f t="shared" si="151"/>
        <v>85</v>
      </c>
      <c r="E622" s="8" t="str" cm="1">
        <f t="array" ref="E622">GetColorMatchValue(C622, $C$3:$C$10)</f>
        <v>fs</v>
      </c>
      <c r="F622" s="88" t="str">
        <f t="shared" si="164"/>
        <v>&lt;tr&gt;&lt;td&gt;1 Set of 3 Reps &lt;/td&gt;&lt;td&gt;85%&lt;/td&gt;&lt;td&gt;${percent(fs, 85)}&lt;/td&gt;&lt;/tr&gt;</v>
      </c>
    </row>
    <row r="623" spans="1:6" ht="15" customHeight="1" x14ac:dyDescent="0.25">
      <c r="A623" s="71"/>
      <c r="B623" s="8"/>
      <c r="C623" s="76"/>
      <c r="D623" s="8" t="str">
        <f t="shared" si="151"/>
        <v/>
      </c>
      <c r="E623" s="8" t="str" cm="1">
        <f t="array" ref="E623">GetColorMatchValue(C623, $C$3:$C$10)</f>
        <v/>
      </c>
      <c r="F623" s="89" t="s">
        <v>193</v>
      </c>
    </row>
    <row r="624" spans="1:6" ht="15" customHeight="1" x14ac:dyDescent="0.25">
      <c r="A624" s="72" t="s">
        <v>42</v>
      </c>
      <c r="B624" s="8"/>
      <c r="C624" s="76"/>
      <c r="D624" s="8" t="str">
        <f t="shared" si="151"/>
        <v/>
      </c>
      <c r="E624" s="8" t="str" cm="1">
        <f t="array" ref="E624">GetColorMatchValue(C624, $C$3:$C$10)</f>
        <v/>
      </c>
      <c r="F624" s="88" t="str">
        <f>"&lt;tr&gt;&lt;th colspan=""3""&gt;"&amp;A624&amp;"&lt;/th&gt;&lt;/tr&gt;"</f>
        <v>&lt;tr&gt;&lt;th colspan="3"&gt;Snatch&lt;/th&gt;&lt;/tr&gt;</v>
      </c>
    </row>
    <row r="625" spans="1:6" ht="15" customHeight="1" x14ac:dyDescent="0.25">
      <c r="A625" s="71" t="s">
        <v>95</v>
      </c>
      <c r="B625" s="7">
        <v>0.6</v>
      </c>
      <c r="C625" s="78">
        <f t="shared" ref="C625:C630" si="165">$B$7*B625</f>
        <v>57</v>
      </c>
      <c r="D625" s="8">
        <f t="shared" si="151"/>
        <v>60</v>
      </c>
      <c r="E625" s="8" t="str" cm="1">
        <f t="array" ref="E625">GetColorMatchValue(C625, $C$3:$C$10)</f>
        <v>s</v>
      </c>
      <c r="F625" s="88" t="str">
        <f t="shared" ref="F625:F630" si="166">"&lt;tr&gt;&lt;td&gt;"&amp;A625&amp;"&lt;/td&gt;&lt;td&gt;"&amp;D625&amp;"%&lt;/td&gt;&lt;td&gt;${percent("&amp;E625&amp;", "&amp;D625&amp;")}&lt;/td&gt;&lt;/tr&gt;"</f>
        <v>&lt;tr&gt;&lt;td&gt;1 Set of 3 Reps &lt;/td&gt;&lt;td&gt;60%&lt;/td&gt;&lt;td&gt;${percent(s, 60)}&lt;/td&gt;&lt;/tr&gt;</v>
      </c>
    </row>
    <row r="626" spans="1:6" ht="15" customHeight="1" x14ac:dyDescent="0.25">
      <c r="A626" s="71" t="s">
        <v>95</v>
      </c>
      <c r="B626" s="7">
        <v>0.7</v>
      </c>
      <c r="C626" s="78">
        <f t="shared" si="165"/>
        <v>66.5</v>
      </c>
      <c r="D626" s="8">
        <f t="shared" si="151"/>
        <v>70</v>
      </c>
      <c r="E626" s="8" t="str" cm="1">
        <f t="array" ref="E626">GetColorMatchValue(C626, $C$3:$C$10)</f>
        <v>s</v>
      </c>
      <c r="F626" s="88" t="str">
        <f t="shared" si="166"/>
        <v>&lt;tr&gt;&lt;td&gt;1 Set of 3 Reps &lt;/td&gt;&lt;td&gt;70%&lt;/td&gt;&lt;td&gt;${percent(s, 70)}&lt;/td&gt;&lt;/tr&gt;</v>
      </c>
    </row>
    <row r="627" spans="1:6" ht="15" customHeight="1" x14ac:dyDescent="0.25">
      <c r="A627" s="71" t="s">
        <v>95</v>
      </c>
      <c r="B627" s="7">
        <v>0.8</v>
      </c>
      <c r="C627" s="78">
        <f t="shared" si="165"/>
        <v>76</v>
      </c>
      <c r="D627" s="8">
        <f t="shared" si="151"/>
        <v>80</v>
      </c>
      <c r="E627" s="8" t="str" cm="1">
        <f t="array" ref="E627">GetColorMatchValue(C627, $C$3:$C$10)</f>
        <v>s</v>
      </c>
      <c r="F627" s="88" t="str">
        <f t="shared" si="166"/>
        <v>&lt;tr&gt;&lt;td&gt;1 Set of 3 Reps &lt;/td&gt;&lt;td&gt;80%&lt;/td&gt;&lt;td&gt;${percent(s, 80)}&lt;/td&gt;&lt;/tr&gt;</v>
      </c>
    </row>
    <row r="628" spans="1:6" ht="15" customHeight="1" x14ac:dyDescent="0.25">
      <c r="A628" s="71" t="s">
        <v>95</v>
      </c>
      <c r="B628" s="7">
        <v>0.85</v>
      </c>
      <c r="C628" s="78">
        <f t="shared" si="165"/>
        <v>80.75</v>
      </c>
      <c r="D628" s="8">
        <f t="shared" si="151"/>
        <v>85</v>
      </c>
      <c r="E628" s="8" t="str" cm="1">
        <f t="array" ref="E628">GetColorMatchValue(C628, $C$3:$C$10)</f>
        <v>s</v>
      </c>
      <c r="F628" s="88" t="str">
        <f t="shared" si="166"/>
        <v>&lt;tr&gt;&lt;td&gt;1 Set of 3 Reps &lt;/td&gt;&lt;td&gt;85%&lt;/td&gt;&lt;td&gt;${percent(s, 85)}&lt;/td&gt;&lt;/tr&gt;</v>
      </c>
    </row>
    <row r="629" spans="1:6" ht="15" customHeight="1" x14ac:dyDescent="0.25">
      <c r="A629" s="71" t="s">
        <v>113</v>
      </c>
      <c r="B629" s="7">
        <v>0.9</v>
      </c>
      <c r="C629" s="78">
        <f t="shared" si="165"/>
        <v>85.5</v>
      </c>
      <c r="D629" s="8">
        <f t="shared" si="151"/>
        <v>90</v>
      </c>
      <c r="E629" s="8" t="str" cm="1">
        <f t="array" ref="E629">GetColorMatchValue(C629, $C$3:$C$10)</f>
        <v>s</v>
      </c>
      <c r="F629" s="88" t="str">
        <f t="shared" si="166"/>
        <v>&lt;tr&gt;&lt;td&gt;1 Set of 2 Reps &lt;/td&gt;&lt;td&gt;90%&lt;/td&gt;&lt;td&gt;${percent(s, 90)}&lt;/td&gt;&lt;/tr&gt;</v>
      </c>
    </row>
    <row r="630" spans="1:6" ht="15" customHeight="1" x14ac:dyDescent="0.25">
      <c r="A630" s="71" t="s">
        <v>96</v>
      </c>
      <c r="B630" s="7">
        <v>0.8</v>
      </c>
      <c r="C630" s="78">
        <f t="shared" si="165"/>
        <v>76</v>
      </c>
      <c r="D630" s="8">
        <f t="shared" si="151"/>
        <v>80</v>
      </c>
      <c r="E630" s="8" t="str" cm="1">
        <f t="array" ref="E630">GetColorMatchValue(C630, $C$3:$C$10)</f>
        <v>s</v>
      </c>
      <c r="F630" s="88" t="str">
        <f t="shared" si="166"/>
        <v>&lt;tr&gt;&lt;td&gt;4 Sets of 3 Reps &lt;/td&gt;&lt;td&gt;80%&lt;/td&gt;&lt;td&gt;${percent(s, 80)}&lt;/td&gt;&lt;/tr&gt;</v>
      </c>
    </row>
    <row r="631" spans="1:6" ht="15" customHeight="1" x14ac:dyDescent="0.25">
      <c r="A631" s="71"/>
      <c r="B631" s="8"/>
      <c r="C631" s="76"/>
      <c r="D631" s="8" t="str">
        <f t="shared" si="151"/>
        <v/>
      </c>
      <c r="E631" s="8" t="str" cm="1">
        <f t="array" ref="E631">GetColorMatchValue(C631, $C$3:$C$10)</f>
        <v/>
      </c>
      <c r="F631" s="89" t="s">
        <v>193</v>
      </c>
    </row>
    <row r="632" spans="1:6" ht="15" customHeight="1" x14ac:dyDescent="0.25">
      <c r="A632" s="72" t="s">
        <v>43</v>
      </c>
      <c r="B632" s="8"/>
      <c r="C632" s="76"/>
      <c r="D632" s="8" t="str">
        <f t="shared" si="151"/>
        <v/>
      </c>
      <c r="E632" s="8" t="str" cm="1">
        <f t="array" ref="E632">GetColorMatchValue(C632, $C$3:$C$10)</f>
        <v/>
      </c>
      <c r="F632" s="88" t="str">
        <f>"&lt;tr&gt;&lt;th colspan=""3""&gt;"&amp;A632&amp;"&lt;/th&gt;&lt;/tr&gt;"</f>
        <v>&lt;tr&gt;&lt;th colspan="3"&gt;Clean + Jerk&lt;/th&gt;&lt;/tr&gt;</v>
      </c>
    </row>
    <row r="633" spans="1:6" ht="15" customHeight="1" x14ac:dyDescent="0.25">
      <c r="A633" s="71" t="s">
        <v>161</v>
      </c>
      <c r="B633" s="7">
        <v>0.6</v>
      </c>
      <c r="C633" s="82">
        <f t="shared" ref="C633:C638" si="167">$B$8*B633</f>
        <v>69</v>
      </c>
      <c r="D633" s="8">
        <f t="shared" si="151"/>
        <v>60</v>
      </c>
      <c r="E633" s="8" t="str" cm="1">
        <f t="array" ref="E633">GetColorMatchValue(C633, $C$3:$C$10)</f>
        <v>cj</v>
      </c>
      <c r="F633" s="88" t="str">
        <f t="shared" ref="F633:F638" si="168">"&lt;tr&gt;&lt;td&gt;"&amp;A633&amp;"&lt;/td&gt;&lt;td&gt;"&amp;D633&amp;"%&lt;/td&gt;&lt;td&gt;${percent("&amp;E633&amp;", "&amp;D633&amp;")}&lt;/td&gt;&lt;/tr&gt;"</f>
        <v>&lt;tr&gt;&lt;td&gt;1 Set of 3 Cl. + 1 Jr. &lt;/td&gt;&lt;td&gt;60%&lt;/td&gt;&lt;td&gt;${percent(cj, 60)}&lt;/td&gt;&lt;/tr&gt;</v>
      </c>
    </row>
    <row r="634" spans="1:6" ht="15" customHeight="1" x14ac:dyDescent="0.25">
      <c r="A634" s="71" t="s">
        <v>161</v>
      </c>
      <c r="B634" s="7">
        <v>0.7</v>
      </c>
      <c r="C634" s="82">
        <f t="shared" si="167"/>
        <v>80.5</v>
      </c>
      <c r="D634" s="8">
        <f t="shared" si="151"/>
        <v>70</v>
      </c>
      <c r="E634" s="8" t="str" cm="1">
        <f t="array" ref="E634">GetColorMatchValue(C634, $C$3:$C$10)</f>
        <v>cj</v>
      </c>
      <c r="F634" s="88" t="str">
        <f t="shared" si="168"/>
        <v>&lt;tr&gt;&lt;td&gt;1 Set of 3 Cl. + 1 Jr. &lt;/td&gt;&lt;td&gt;70%&lt;/td&gt;&lt;td&gt;${percent(cj, 70)}&lt;/td&gt;&lt;/tr&gt;</v>
      </c>
    </row>
    <row r="635" spans="1:6" ht="15" customHeight="1" x14ac:dyDescent="0.25">
      <c r="A635" s="71" t="s">
        <v>161</v>
      </c>
      <c r="B635" s="7">
        <v>0.8</v>
      </c>
      <c r="C635" s="82">
        <f t="shared" si="167"/>
        <v>92</v>
      </c>
      <c r="D635" s="8">
        <f t="shared" ref="D635:D663" si="169">IF(ISNUMBER(B635), B635 * 100, "")</f>
        <v>80</v>
      </c>
      <c r="E635" s="8" t="str" cm="1">
        <f t="array" ref="E635">GetColorMatchValue(C635, $C$3:$C$10)</f>
        <v>cj</v>
      </c>
      <c r="F635" s="88" t="str">
        <f t="shared" si="168"/>
        <v>&lt;tr&gt;&lt;td&gt;1 Set of 3 Cl. + 1 Jr. &lt;/td&gt;&lt;td&gt;80%&lt;/td&gt;&lt;td&gt;${percent(cj, 80)}&lt;/td&gt;&lt;/tr&gt;</v>
      </c>
    </row>
    <row r="636" spans="1:6" ht="15" customHeight="1" x14ac:dyDescent="0.25">
      <c r="A636" s="71" t="s">
        <v>161</v>
      </c>
      <c r="B636" s="7">
        <v>0.85</v>
      </c>
      <c r="C636" s="82">
        <f t="shared" si="167"/>
        <v>97.75</v>
      </c>
      <c r="D636" s="8">
        <f t="shared" si="169"/>
        <v>85</v>
      </c>
      <c r="E636" s="8" t="str" cm="1">
        <f t="array" ref="E636">GetColorMatchValue(C636, $C$3:$C$10)</f>
        <v>cj</v>
      </c>
      <c r="F636" s="88" t="str">
        <f t="shared" si="168"/>
        <v>&lt;tr&gt;&lt;td&gt;1 Set of 3 Cl. + 1 Jr. &lt;/td&gt;&lt;td&gt;85%&lt;/td&gt;&lt;td&gt;${percent(cj, 85)}&lt;/td&gt;&lt;/tr&gt;</v>
      </c>
    </row>
    <row r="637" spans="1:6" ht="15" customHeight="1" x14ac:dyDescent="0.25">
      <c r="A637" s="71" t="s">
        <v>144</v>
      </c>
      <c r="B637" s="7">
        <v>0.9</v>
      </c>
      <c r="C637" s="82">
        <f t="shared" si="167"/>
        <v>103.5</v>
      </c>
      <c r="D637" s="8">
        <f t="shared" si="169"/>
        <v>90</v>
      </c>
      <c r="E637" s="8" t="str" cm="1">
        <f t="array" ref="E637">GetColorMatchValue(C637, $C$3:$C$10)</f>
        <v>cj</v>
      </c>
      <c r="F637" s="88" t="str">
        <f t="shared" si="168"/>
        <v>&lt;tr&gt;&lt;td&gt;1 Set of 2 Cl. + 1 Jr. &lt;/td&gt;&lt;td&gt;90%&lt;/td&gt;&lt;td&gt;${percent(cj, 90)}&lt;/td&gt;&lt;/tr&gt;</v>
      </c>
    </row>
    <row r="638" spans="1:6" ht="15" customHeight="1" x14ac:dyDescent="0.25">
      <c r="A638" s="71" t="s">
        <v>145</v>
      </c>
      <c r="B638" s="7">
        <v>0.8</v>
      </c>
      <c r="C638" s="82">
        <f t="shared" si="167"/>
        <v>92</v>
      </c>
      <c r="D638" s="8">
        <f t="shared" si="169"/>
        <v>80</v>
      </c>
      <c r="E638" s="8" t="str" cm="1">
        <f t="array" ref="E638">GetColorMatchValue(C638, $C$3:$C$10)</f>
        <v>cj</v>
      </c>
      <c r="F638" s="88" t="str">
        <f t="shared" si="168"/>
        <v>&lt;tr&gt;&lt;td&gt;3 Sets of 3 Cl. + 1 Jr. &lt;/td&gt;&lt;td&gt;80%&lt;/td&gt;&lt;td&gt;${percent(cj, 80)}&lt;/td&gt;&lt;/tr&gt;</v>
      </c>
    </row>
    <row r="639" spans="1:6" ht="15" customHeight="1" x14ac:dyDescent="0.25">
      <c r="A639" s="71"/>
      <c r="B639" s="8"/>
      <c r="C639" s="76"/>
      <c r="D639" s="8" t="str">
        <f t="shared" si="169"/>
        <v/>
      </c>
      <c r="E639" s="8" t="str" cm="1">
        <f t="array" ref="E639">GetColorMatchValue(C639, $C$3:$C$10)</f>
        <v/>
      </c>
      <c r="F639" s="89" t="s">
        <v>193</v>
      </c>
    </row>
    <row r="640" spans="1:6" ht="15" customHeight="1" x14ac:dyDescent="0.25">
      <c r="A640" s="72" t="s">
        <v>91</v>
      </c>
      <c r="B640" s="8"/>
      <c r="C640" s="76"/>
      <c r="D640" s="8" t="str">
        <f t="shared" si="169"/>
        <v/>
      </c>
      <c r="E640" s="8" t="str" cm="1">
        <f t="array" ref="E640">GetColorMatchValue(C640, $C$3:$C$10)</f>
        <v/>
      </c>
      <c r="F640" s="88" t="str">
        <f>"&lt;tr&gt;&lt;th colspan=""3""&gt;"&amp;A640&amp;"&lt;/th&gt;&lt;/tr&gt;"</f>
        <v>&lt;tr&gt;&lt;th colspan="3"&gt;Snatch Deadlift from Blocks Below the Knee &lt;/th&gt;&lt;/tr&gt;</v>
      </c>
    </row>
    <row r="641" spans="1:6" ht="15" customHeight="1" x14ac:dyDescent="0.25">
      <c r="A641" s="71" t="s">
        <v>105</v>
      </c>
      <c r="B641" s="7">
        <v>1</v>
      </c>
      <c r="C641" s="78">
        <f t="shared" ref="C641:C646" si="170">$B$7*B641</f>
        <v>95</v>
      </c>
      <c r="D641" s="8">
        <f t="shared" si="169"/>
        <v>100</v>
      </c>
      <c r="E641" s="8" t="str" cm="1">
        <f t="array" ref="E641">GetColorMatchValue(C641, $C$3:$C$10)</f>
        <v>s</v>
      </c>
      <c r="F641" s="88" t="str">
        <f t="shared" ref="F641:F646" si="171">"&lt;tr&gt;&lt;td&gt;"&amp;A641&amp;"&lt;/td&gt;&lt;td&gt;"&amp;D641&amp;"%&lt;/td&gt;&lt;td&gt;${percent("&amp;E641&amp;", "&amp;D641&amp;")}&lt;/td&gt;&lt;/tr&gt;"</f>
        <v>&lt;tr&gt;&lt;td&gt;1 Set of 4 Reps &lt;/td&gt;&lt;td&gt;100%&lt;/td&gt;&lt;td&gt;${percent(s, 100)}&lt;/td&gt;&lt;/tr&gt;</v>
      </c>
    </row>
    <row r="642" spans="1:6" ht="15" customHeight="1" x14ac:dyDescent="0.25">
      <c r="A642" s="71" t="s">
        <v>105</v>
      </c>
      <c r="B642" s="7">
        <v>1.1000000000000001</v>
      </c>
      <c r="C642" s="78">
        <f t="shared" si="170"/>
        <v>104.50000000000001</v>
      </c>
      <c r="D642" s="8">
        <f t="shared" si="169"/>
        <v>110.00000000000001</v>
      </c>
      <c r="E642" s="8" t="str" cm="1">
        <f t="array" ref="E642">GetColorMatchValue(C642, $C$3:$C$10)</f>
        <v>s</v>
      </c>
      <c r="F642" s="88" t="str">
        <f t="shared" si="171"/>
        <v>&lt;tr&gt;&lt;td&gt;1 Set of 4 Reps &lt;/td&gt;&lt;td&gt;110%&lt;/td&gt;&lt;td&gt;${percent(s, 110)}&lt;/td&gt;&lt;/tr&gt;</v>
      </c>
    </row>
    <row r="643" spans="1:6" ht="15" customHeight="1" x14ac:dyDescent="0.25">
      <c r="A643" s="71" t="s">
        <v>105</v>
      </c>
      <c r="B643" s="7">
        <v>1</v>
      </c>
      <c r="C643" s="78">
        <f t="shared" si="170"/>
        <v>95</v>
      </c>
      <c r="D643" s="8">
        <f t="shared" si="169"/>
        <v>100</v>
      </c>
      <c r="E643" s="8" t="str" cm="1">
        <f t="array" ref="E643">GetColorMatchValue(C643, $C$3:$C$10)</f>
        <v>s</v>
      </c>
      <c r="F643" s="88" t="str">
        <f t="shared" si="171"/>
        <v>&lt;tr&gt;&lt;td&gt;1 Set of 4 Reps &lt;/td&gt;&lt;td&gt;100%&lt;/td&gt;&lt;td&gt;${percent(s, 100)}&lt;/td&gt;&lt;/tr&gt;</v>
      </c>
    </row>
    <row r="644" spans="1:6" ht="15" customHeight="1" x14ac:dyDescent="0.25">
      <c r="A644" s="71" t="s">
        <v>105</v>
      </c>
      <c r="B644" s="7">
        <v>1.1000000000000001</v>
      </c>
      <c r="C644" s="78">
        <f t="shared" si="170"/>
        <v>104.50000000000001</v>
      </c>
      <c r="D644" s="8">
        <f t="shared" si="169"/>
        <v>110.00000000000001</v>
      </c>
      <c r="E644" s="8" t="str" cm="1">
        <f t="array" ref="E644">GetColorMatchValue(C644, $C$3:$C$10)</f>
        <v>s</v>
      </c>
      <c r="F644" s="88" t="str">
        <f t="shared" si="171"/>
        <v>&lt;tr&gt;&lt;td&gt;1 Set of 4 Reps &lt;/td&gt;&lt;td&gt;110%&lt;/td&gt;&lt;td&gt;${percent(s, 110)}&lt;/td&gt;&lt;/tr&gt;</v>
      </c>
    </row>
    <row r="645" spans="1:6" ht="15" customHeight="1" x14ac:dyDescent="0.25">
      <c r="A645" s="71" t="s">
        <v>105</v>
      </c>
      <c r="B645" s="7">
        <v>1</v>
      </c>
      <c r="C645" s="78">
        <f t="shared" si="170"/>
        <v>95</v>
      </c>
      <c r="D645" s="8">
        <f t="shared" si="169"/>
        <v>100</v>
      </c>
      <c r="E645" s="8" t="str" cm="1">
        <f t="array" ref="E645">GetColorMatchValue(C645, $C$3:$C$10)</f>
        <v>s</v>
      </c>
      <c r="F645" s="88" t="str">
        <f t="shared" si="171"/>
        <v>&lt;tr&gt;&lt;td&gt;1 Set of 4 Reps &lt;/td&gt;&lt;td&gt;100%&lt;/td&gt;&lt;td&gt;${percent(s, 100)}&lt;/td&gt;&lt;/tr&gt;</v>
      </c>
    </row>
    <row r="646" spans="1:6" ht="15" customHeight="1" x14ac:dyDescent="0.25">
      <c r="A646" s="71" t="s">
        <v>105</v>
      </c>
      <c r="B646" s="7">
        <v>1.1000000000000001</v>
      </c>
      <c r="C646" s="78">
        <f t="shared" si="170"/>
        <v>104.50000000000001</v>
      </c>
      <c r="D646" s="8">
        <f t="shared" si="169"/>
        <v>110.00000000000001</v>
      </c>
      <c r="E646" s="8" t="str" cm="1">
        <f t="array" ref="E646">GetColorMatchValue(C646, $C$3:$C$10)</f>
        <v>s</v>
      </c>
      <c r="F646" s="88" t="str">
        <f t="shared" si="171"/>
        <v>&lt;tr&gt;&lt;td&gt;1 Set of 4 Reps &lt;/td&gt;&lt;td&gt;110%&lt;/td&gt;&lt;td&gt;${percent(s, 110)}&lt;/td&gt;&lt;/tr&gt;</v>
      </c>
    </row>
    <row r="647" spans="1:6" ht="15" customHeight="1" x14ac:dyDescent="0.25">
      <c r="A647" s="71"/>
      <c r="B647" s="8"/>
      <c r="C647" s="76"/>
      <c r="D647" s="8" t="str">
        <f t="shared" si="169"/>
        <v/>
      </c>
      <c r="E647" s="8" t="str" cm="1">
        <f t="array" ref="E647">GetColorMatchValue(C647, $C$3:$C$10)</f>
        <v/>
      </c>
      <c r="F647" s="89" t="s">
        <v>193</v>
      </c>
    </row>
    <row r="648" spans="1:6" ht="15" customHeight="1" x14ac:dyDescent="0.25">
      <c r="A648" s="72" t="s">
        <v>47</v>
      </c>
      <c r="B648" s="8"/>
      <c r="C648" s="76"/>
      <c r="D648" s="8" t="str">
        <f t="shared" si="169"/>
        <v/>
      </c>
      <c r="E648" s="8" t="str" cm="1">
        <f t="array" ref="E648">GetColorMatchValue(C648, $C$3:$C$10)</f>
        <v/>
      </c>
      <c r="F648" s="88" t="str">
        <f>"&lt;tr&gt;&lt;th colspan=""3""&gt;"&amp;A648&amp;"&lt;/th&gt;&lt;/tr&gt;"</f>
        <v>&lt;tr&gt;&lt;th colspan="3"&gt;Press&lt;/th&gt;&lt;/tr&gt;</v>
      </c>
    </row>
    <row r="649" spans="1:6" ht="15" customHeight="1" x14ac:dyDescent="0.25">
      <c r="A649" s="71" t="s">
        <v>204</v>
      </c>
      <c r="B649" s="71" t="s">
        <v>198</v>
      </c>
      <c r="C649" s="76"/>
      <c r="D649" s="8" t="str">
        <f t="shared" si="169"/>
        <v/>
      </c>
      <c r="E649" s="8" t="str" cm="1">
        <f t="array" ref="E649">GetColorMatchValue(C649, $C$3:$C$10)</f>
        <v/>
      </c>
      <c r="F649" s="88" t="str">
        <f>"&lt;tr&gt;&lt;td colspan=""3""&gt;"&amp;A649&amp;" "&amp;B649&amp;"&lt;/td&gt;&lt;/tr&gt;"</f>
        <v>&lt;tr&gt;&lt;td colspan="3"&gt;4 Sets of 5 Reps Work up to weight where you can maintain proper form.&lt;/td&gt;&lt;/tr&gt;</v>
      </c>
    </row>
    <row r="650" spans="1:6" ht="15" customHeight="1" x14ac:dyDescent="0.25">
      <c r="A650" s="90" t="s">
        <v>79</v>
      </c>
      <c r="B650" s="74" t="s">
        <v>93</v>
      </c>
      <c r="C650" s="75" t="s">
        <v>94</v>
      </c>
      <c r="D650" s="74" t="s">
        <v>192</v>
      </c>
      <c r="E650" s="75" t="s">
        <v>190</v>
      </c>
      <c r="F650" s="91" t="s">
        <v>191</v>
      </c>
    </row>
    <row r="651" spans="1:6" ht="15" customHeight="1" x14ac:dyDescent="0.25">
      <c r="A651" s="72" t="s">
        <v>0</v>
      </c>
      <c r="B651" s="8"/>
      <c r="C651" s="76"/>
      <c r="D651" s="8" t="str">
        <f t="shared" si="169"/>
        <v/>
      </c>
      <c r="E651" s="8" t="str" cm="1">
        <f t="array" ref="E651">GetColorMatchValue(C651, $C$3:$C$10)</f>
        <v/>
      </c>
      <c r="F651" s="88" t="str">
        <f>"&lt;tr&gt;&lt;th colspan=""3""&gt;"&amp;A651&amp;"&lt;/th&gt;&lt;/tr&gt;"</f>
        <v>&lt;tr&gt;&lt;th colspan="3"&gt;Back Squat&lt;/th&gt;&lt;/tr&gt;</v>
      </c>
    </row>
    <row r="652" spans="1:6" ht="15" customHeight="1" x14ac:dyDescent="0.25">
      <c r="A652" s="71" t="s">
        <v>95</v>
      </c>
      <c r="B652" s="7">
        <v>0.6</v>
      </c>
      <c r="C652" s="77">
        <f>$B$3*B652</f>
        <v>120</v>
      </c>
      <c r="D652" s="8">
        <f t="shared" si="169"/>
        <v>60</v>
      </c>
      <c r="E652" s="8" t="str" cm="1">
        <f t="array" ref="E652">GetColorMatchValue(C652, $C$3:$C$10)</f>
        <v>bs</v>
      </c>
      <c r="F652" s="88" t="str">
        <f t="shared" ref="F652:F655" si="172">"&lt;tr&gt;&lt;td&gt;"&amp;A652&amp;"&lt;/td&gt;&lt;td&gt;"&amp;D652&amp;"%&lt;/td&gt;&lt;td&gt;${percent("&amp;E652&amp;", "&amp;D652&amp;")}&lt;/td&gt;&lt;/tr&gt;"</f>
        <v>&lt;tr&gt;&lt;td&gt;1 Set of 3 Reps &lt;/td&gt;&lt;td&gt;60%&lt;/td&gt;&lt;td&gt;${percent(bs, 60)}&lt;/td&gt;&lt;/tr&gt;</v>
      </c>
    </row>
    <row r="653" spans="1:6" ht="15" customHeight="1" x14ac:dyDescent="0.25">
      <c r="A653" s="71" t="s">
        <v>95</v>
      </c>
      <c r="B653" s="7">
        <v>0.7</v>
      </c>
      <c r="C653" s="77">
        <f>$B$3*B653</f>
        <v>140</v>
      </c>
      <c r="D653" s="8">
        <f t="shared" si="169"/>
        <v>70</v>
      </c>
      <c r="E653" s="8" t="str" cm="1">
        <f t="array" ref="E653">GetColorMatchValue(C653, $C$3:$C$10)</f>
        <v>bs</v>
      </c>
      <c r="F653" s="88" t="str">
        <f t="shared" si="172"/>
        <v>&lt;tr&gt;&lt;td&gt;1 Set of 3 Reps &lt;/td&gt;&lt;td&gt;70%&lt;/td&gt;&lt;td&gt;${percent(bs, 70)}&lt;/td&gt;&lt;/tr&gt;</v>
      </c>
    </row>
    <row r="654" spans="1:6" ht="15" customHeight="1" x14ac:dyDescent="0.25">
      <c r="A654" s="71" t="s">
        <v>95</v>
      </c>
      <c r="B654" s="7">
        <v>0.8</v>
      </c>
      <c r="C654" s="77">
        <f>$B$3*B654</f>
        <v>160</v>
      </c>
      <c r="D654" s="8">
        <f t="shared" si="169"/>
        <v>80</v>
      </c>
      <c r="E654" s="8" t="str" cm="1">
        <f t="array" ref="E654">GetColorMatchValue(C654, $C$3:$C$10)</f>
        <v>bs</v>
      </c>
      <c r="F654" s="88" t="str">
        <f t="shared" si="172"/>
        <v>&lt;tr&gt;&lt;td&gt;1 Set of 3 Reps &lt;/td&gt;&lt;td&gt;80%&lt;/td&gt;&lt;td&gt;${percent(bs, 80)}&lt;/td&gt;&lt;/tr&gt;</v>
      </c>
    </row>
    <row r="655" spans="1:6" ht="15" customHeight="1" x14ac:dyDescent="0.25">
      <c r="A655" s="71" t="s">
        <v>96</v>
      </c>
      <c r="B655" s="7">
        <v>0.85</v>
      </c>
      <c r="C655" s="77">
        <f>$B$3*B655</f>
        <v>170</v>
      </c>
      <c r="D655" s="8">
        <f t="shared" si="169"/>
        <v>85</v>
      </c>
      <c r="E655" s="8" t="str" cm="1">
        <f t="array" ref="E655">GetColorMatchValue(C655, $C$3:$C$10)</f>
        <v>bs</v>
      </c>
      <c r="F655" s="88" t="str">
        <f t="shared" si="172"/>
        <v>&lt;tr&gt;&lt;td&gt;4 Sets of 3 Reps &lt;/td&gt;&lt;td&gt;85%&lt;/td&gt;&lt;td&gt;${percent(bs, 85)}&lt;/td&gt;&lt;/tr&gt;</v>
      </c>
    </row>
    <row r="656" spans="1:6" ht="15" customHeight="1" x14ac:dyDescent="0.25">
      <c r="A656" s="71"/>
      <c r="B656" s="8"/>
      <c r="C656" s="76"/>
      <c r="D656" s="8" t="str">
        <f t="shared" si="169"/>
        <v/>
      </c>
      <c r="E656" s="8" t="str" cm="1">
        <f t="array" ref="E656">GetColorMatchValue(C656, $C$3:$C$10)</f>
        <v/>
      </c>
      <c r="F656" s="89" t="s">
        <v>193</v>
      </c>
    </row>
    <row r="657" spans="1:6" ht="15" customHeight="1" x14ac:dyDescent="0.25">
      <c r="A657" s="72" t="s">
        <v>38</v>
      </c>
      <c r="B657" s="8"/>
      <c r="C657" s="76"/>
      <c r="D657" s="8" t="str">
        <f t="shared" si="169"/>
        <v/>
      </c>
      <c r="E657" s="8" t="str" cm="1">
        <f t="array" ref="E657">GetColorMatchValue(C657, $C$3:$C$10)</f>
        <v/>
      </c>
      <c r="F657" s="88" t="str">
        <f>"&lt;tr&gt;&lt;th colspan=""3""&gt;"&amp;A657&amp;"&lt;/th&gt;&lt;/tr&gt;"</f>
        <v>&lt;tr&gt;&lt;th colspan="3"&gt;Power Snatch + Behind the Neck Snatch Grip Push Press + Overhead Squat&lt;/th&gt;&lt;/tr&gt;</v>
      </c>
    </row>
    <row r="658" spans="1:6" ht="15" customHeight="1" x14ac:dyDescent="0.25">
      <c r="A658" s="71" t="s">
        <v>163</v>
      </c>
      <c r="B658" s="7">
        <v>0.6</v>
      </c>
      <c r="C658" s="79">
        <f t="shared" ref="C658:C659" si="173">$B$5*B658</f>
        <v>54</v>
      </c>
      <c r="D658" s="8">
        <f t="shared" si="169"/>
        <v>60</v>
      </c>
      <c r="E658" s="8" t="str" cm="1">
        <f t="array" ref="E658">GetColorMatchValue(C658, $C$3:$C$10)</f>
        <v>os</v>
      </c>
      <c r="F658" s="88" t="str">
        <f t="shared" ref="F658:F659" si="174">"&lt;tr&gt;&lt;td&gt;"&amp;A658&amp;"&lt;/td&gt;&lt;td&gt;"&amp;D658&amp;"%&lt;/td&gt;&lt;td&gt;${percent("&amp;E658&amp;", "&amp;D658&amp;")}&lt;/td&gt;&lt;/tr&gt;"</f>
        <v>&lt;tr&gt;&lt;td&gt;1 Set of 3 P.Sn. + 3 B.N.Sn.G.P.Pr. + 3 Oh.S. &lt;/td&gt;&lt;td&gt;60%&lt;/td&gt;&lt;td&gt;${percent(os, 60)}&lt;/td&gt;&lt;/tr&gt;</v>
      </c>
    </row>
    <row r="659" spans="1:6" ht="15" customHeight="1" x14ac:dyDescent="0.25">
      <c r="A659" s="71" t="s">
        <v>171</v>
      </c>
      <c r="B659" s="7">
        <v>0.7</v>
      </c>
      <c r="C659" s="79">
        <f t="shared" si="173"/>
        <v>62.999999999999993</v>
      </c>
      <c r="D659" s="8">
        <f t="shared" si="169"/>
        <v>70</v>
      </c>
      <c r="E659" s="8" t="str" cm="1">
        <f t="array" ref="E659">GetColorMatchValue(C659, $C$3:$C$10)</f>
        <v>os</v>
      </c>
      <c r="F659" s="88" t="str">
        <f t="shared" si="174"/>
        <v>&lt;tr&gt;&lt;td&gt;3 Sets of 3 P.Sn. + 3 B.N.Sn.G.P.Pr. + 2 Oh.S. &lt;/td&gt;&lt;td&gt;70%&lt;/td&gt;&lt;td&gt;${percent(os, 70)}&lt;/td&gt;&lt;/tr&gt;</v>
      </c>
    </row>
    <row r="660" spans="1:6" ht="15" customHeight="1" x14ac:dyDescent="0.25">
      <c r="A660" s="71"/>
      <c r="B660" s="8"/>
      <c r="C660" s="76"/>
      <c r="D660" s="8" t="str">
        <f t="shared" si="169"/>
        <v/>
      </c>
      <c r="E660" s="8" t="str" cm="1">
        <f t="array" ref="E660">GetColorMatchValue(C660, $C$3:$C$10)</f>
        <v/>
      </c>
      <c r="F660" s="89" t="s">
        <v>193</v>
      </c>
    </row>
    <row r="661" spans="1:6" ht="15" customHeight="1" x14ac:dyDescent="0.25">
      <c r="A661" s="72" t="s">
        <v>39</v>
      </c>
      <c r="B661" s="8"/>
      <c r="C661" s="76"/>
      <c r="D661" s="8" t="str">
        <f t="shared" si="169"/>
        <v/>
      </c>
      <c r="E661" s="8" t="str" cm="1">
        <f t="array" ref="E661">GetColorMatchValue(C661, $C$3:$C$10)</f>
        <v/>
      </c>
      <c r="F661" s="88" t="str">
        <f>"&lt;tr&gt;&lt;th colspan=""3""&gt;"&amp;A661&amp;"&lt;/th&gt;&lt;/tr&gt;"</f>
        <v>&lt;tr&gt;&lt;th colspan="3"&gt;Power Clean + Front Squat + Jerk&lt;/th&gt;&lt;/tr&gt;</v>
      </c>
    </row>
    <row r="662" spans="1:6" ht="15" customHeight="1" x14ac:dyDescent="0.25">
      <c r="A662" s="71" t="s">
        <v>165</v>
      </c>
      <c r="B662" s="7">
        <v>0.6</v>
      </c>
      <c r="C662" s="82">
        <f>$B$8*B662</f>
        <v>69</v>
      </c>
      <c r="D662" s="8">
        <f t="shared" si="169"/>
        <v>60</v>
      </c>
      <c r="E662" s="8" t="str" cm="1">
        <f t="array" ref="E662">GetColorMatchValue(C662, $C$3:$C$10)</f>
        <v>cj</v>
      </c>
      <c r="F662" s="88" t="str">
        <f t="shared" ref="F662:F663" si="175">"&lt;tr&gt;&lt;td&gt;"&amp;A662&amp;"&lt;/td&gt;&lt;td&gt;"&amp;D662&amp;"%&lt;/td&gt;&lt;td&gt;${percent("&amp;E662&amp;", "&amp;D662&amp;")}&lt;/td&gt;&lt;/tr&gt;"</f>
        <v>&lt;tr&gt;&lt;td&gt;1 Set of 3 P.Cl. + 3 F.S. + 3 Jr. &lt;/td&gt;&lt;td&gt;60%&lt;/td&gt;&lt;td&gt;${percent(cj, 60)}&lt;/td&gt;&lt;/tr&gt;</v>
      </c>
    </row>
    <row r="663" spans="1:6" ht="15" customHeight="1" thickBot="1" x14ac:dyDescent="0.3">
      <c r="A663" s="73" t="s">
        <v>172</v>
      </c>
      <c r="B663" s="36">
        <v>0.7</v>
      </c>
      <c r="C663" s="92">
        <f>$B$8*B663</f>
        <v>80.5</v>
      </c>
      <c r="D663" s="10">
        <f t="shared" si="169"/>
        <v>70</v>
      </c>
      <c r="E663" s="10" t="str" cm="1">
        <f t="array" ref="E663">GetColorMatchValue(C663, $C$3:$C$10)</f>
        <v>cj</v>
      </c>
      <c r="F663" s="105" t="str">
        <f t="shared" si="175"/>
        <v>&lt;tr&gt;&lt;td&gt;3 Sets of 3 P.Cl. + 3 F.S. + 2 Jr. &lt;/td&gt;&lt;td&gt;70%&lt;/td&gt;&lt;td&gt;${percent(cj, 70)}&lt;/td&gt;&lt;/tr&gt;</v>
      </c>
    </row>
  </sheetData>
  <mergeCells count="1">
    <mergeCell ref="A1:G1"/>
  </mergeCells>
  <hyperlinks>
    <hyperlink ref="A1" r:id="rId1" xr:uid="{2D5681B8-A124-471E-A403-15EC4F834064}"/>
  </hyperlinks>
  <pageMargins left="0.7" right="0.7" top="0.75" bottom="0.75" header="0.3" footer="0.3"/>
  <pageSetup orientation="portrait" r:id="rId2"/>
  <ignoredErrors>
    <ignoredError sqref="D246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Inputs</vt:lpstr>
      <vt:lpstr>Week 1</vt:lpstr>
      <vt:lpstr>Week 2</vt:lpstr>
      <vt:lpstr>Week 3</vt:lpstr>
      <vt:lpstr>Week 4</vt:lpstr>
      <vt:lpstr>Week 5</vt:lpstr>
      <vt:lpstr>Week 6</vt:lpstr>
      <vt:lpstr>All Data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Pamalynne Nel</dc:creator>
  <cp:lastModifiedBy>Pamalynne Nel</cp:lastModifiedBy>
  <dcterms:created xsi:type="dcterms:W3CDTF">2025-06-13T09:45:59Z</dcterms:created>
  <dcterms:modified xsi:type="dcterms:W3CDTF">2025-07-16T13:03:09Z</dcterms:modified>
</cp:coreProperties>
</file>