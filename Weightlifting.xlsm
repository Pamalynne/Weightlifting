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6f7379c926acfa2/Desktop/PR App/"/>
    </mc:Choice>
  </mc:AlternateContent>
  <xr:revisionPtr revIDLastSave="1436" documentId="8_{7AF81C05-9A76-4DC8-B684-8BAFDB10BF29}" xr6:coauthVersionLast="47" xr6:coauthVersionMax="47" xr10:uidLastSave="{34E1377B-82C6-4CD7-A31B-8A35DEE5BB1A}"/>
  <bookViews>
    <workbookView xWindow="-28920" yWindow="-4725" windowWidth="29040" windowHeight="15720" activeTab="8" xr2:uid="{DEC41CC6-749F-498E-9B9D-D686F16FE2E9}"/>
  </bookViews>
  <sheets>
    <sheet name="Inputs" sheetId="1" r:id="rId1"/>
    <sheet name="Week 1" sheetId="3" r:id="rId2"/>
    <sheet name="Week 2" sheetId="4" r:id="rId3"/>
    <sheet name="Week 3" sheetId="5" r:id="rId4"/>
    <sheet name="Week 4" sheetId="6" r:id="rId5"/>
    <sheet name="Week 5" sheetId="7" r:id="rId6"/>
    <sheet name="Week 6" sheetId="8" r:id="rId7"/>
    <sheet name="All Data" sheetId="9" r:id="rId8"/>
    <sheet name="code" sheetId="10" r:id="rId9"/>
  </sheets>
  <functionGroups builtInGroupCount="19"/>
  <definedNames>
    <definedName name="_xlnm._FilterDatabase" localSheetId="8" hidden="1">code!$A$12:$I$640</definedName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27" i="10" l="1"/>
  <c r="I591" i="10"/>
  <c r="I565" i="10"/>
  <c r="I539" i="10"/>
  <c r="I504" i="10"/>
  <c r="I465" i="10"/>
  <c r="I446" i="10"/>
  <c r="I407" i="10"/>
  <c r="I404" i="10"/>
  <c r="I401" i="10"/>
  <c r="I350" i="10"/>
  <c r="I347" i="10"/>
  <c r="I319" i="10"/>
  <c r="I240" i="10"/>
  <c r="I237" i="10"/>
  <c r="I206" i="10"/>
  <c r="I171" i="10"/>
  <c r="I149" i="10"/>
  <c r="I126" i="10"/>
  <c r="I102" i="10"/>
  <c r="I638" i="10"/>
  <c r="I634" i="10"/>
  <c r="I628" i="10"/>
  <c r="I626" i="10"/>
  <c r="I618" i="10"/>
  <c r="I610" i="10"/>
  <c r="I602" i="10"/>
  <c r="I592" i="10"/>
  <c r="I590" i="10"/>
  <c r="I583" i="10"/>
  <c r="I578" i="10"/>
  <c r="I573" i="10"/>
  <c r="I566" i="10"/>
  <c r="I564" i="10"/>
  <c r="I559" i="10"/>
  <c r="I555" i="10"/>
  <c r="I550" i="10"/>
  <c r="I545" i="10"/>
  <c r="I540" i="10"/>
  <c r="I538" i="10"/>
  <c r="I530" i="10"/>
  <c r="I526" i="10"/>
  <c r="I521" i="10"/>
  <c r="I516" i="10"/>
  <c r="I510" i="10"/>
  <c r="I505" i="10"/>
  <c r="I503" i="10"/>
  <c r="I496" i="10"/>
  <c r="I488" i="10"/>
  <c r="I481" i="10"/>
  <c r="I474" i="10"/>
  <c r="I466" i="10"/>
  <c r="I464" i="10"/>
  <c r="I461" i="10"/>
  <c r="I457" i="10"/>
  <c r="I453" i="10"/>
  <c r="I447" i="10"/>
  <c r="I445" i="10"/>
  <c r="I435" i="10"/>
  <c r="I428" i="10"/>
  <c r="I421" i="10"/>
  <c r="I414" i="10"/>
  <c r="I408" i="10"/>
  <c r="I406" i="10"/>
  <c r="I403" i="10"/>
  <c r="I400" i="10"/>
  <c r="I397" i="10"/>
  <c r="I390" i="10"/>
  <c r="I383" i="10"/>
  <c r="I377" i="10"/>
  <c r="I371" i="10"/>
  <c r="I360" i="10"/>
  <c r="I351" i="10"/>
  <c r="I349" i="10"/>
  <c r="I346" i="10"/>
  <c r="I340" i="10"/>
  <c r="I330" i="10"/>
  <c r="I325" i="10"/>
  <c r="I320" i="10"/>
  <c r="I318" i="10"/>
  <c r="I313" i="10"/>
  <c r="I306" i="10"/>
  <c r="I298" i="10"/>
  <c r="I289" i="10"/>
  <c r="I283" i="10"/>
  <c r="I270" i="10"/>
  <c r="I262" i="10"/>
  <c r="I256" i="10"/>
  <c r="I250" i="10"/>
  <c r="I241" i="10"/>
  <c r="I239" i="10"/>
  <c r="I236" i="10"/>
  <c r="I227" i="10"/>
  <c r="I222" i="10"/>
  <c r="I215" i="10"/>
  <c r="I207" i="10"/>
  <c r="I205" i="10"/>
  <c r="I198" i="10"/>
  <c r="I194" i="10"/>
  <c r="I186" i="10"/>
  <c r="I178" i="10"/>
  <c r="I172" i="10"/>
  <c r="I170" i="10"/>
  <c r="I162" i="10"/>
  <c r="I159" i="10"/>
  <c r="I155" i="10"/>
  <c r="I151" i="10"/>
  <c r="I148" i="10"/>
  <c r="I145" i="10"/>
  <c r="I140" i="10"/>
  <c r="I133" i="10"/>
  <c r="I127" i="10"/>
  <c r="I125" i="10"/>
  <c r="I121" i="10"/>
  <c r="I115" i="10"/>
  <c r="I108" i="10"/>
  <c r="I103" i="10"/>
  <c r="I101" i="10"/>
  <c r="I98" i="10"/>
  <c r="I91" i="10"/>
  <c r="I85" i="10"/>
  <c r="I80" i="10"/>
  <c r="I75" i="10"/>
  <c r="I73" i="10"/>
  <c r="I70" i="10"/>
  <c r="I67" i="10"/>
  <c r="I65" i="10"/>
  <c r="I61" i="10"/>
  <c r="I57" i="10"/>
  <c r="I54" i="10"/>
  <c r="I50" i="10"/>
  <c r="I48" i="10"/>
  <c r="I44" i="10"/>
  <c r="I40" i="10"/>
  <c r="I37" i="10"/>
  <c r="I34" i="10"/>
  <c r="I32" i="10"/>
  <c r="I27" i="10"/>
  <c r="I21" i="10"/>
  <c r="I18" i="10"/>
  <c r="I13" i="10"/>
  <c r="I10" i="10"/>
  <c r="I6" i="10"/>
  <c r="I4" i="10"/>
  <c r="G32" i="10"/>
  <c r="G27" i="10"/>
  <c r="G21" i="10"/>
  <c r="G18" i="10"/>
  <c r="G13" i="10"/>
  <c r="G240" i="10"/>
  <c r="G206" i="10"/>
  <c r="G171" i="10"/>
  <c r="G14" i="10"/>
  <c r="G15" i="10"/>
  <c r="G16" i="10"/>
  <c r="G17" i="10"/>
  <c r="G19" i="10"/>
  <c r="G20" i="10"/>
  <c r="G22" i="10"/>
  <c r="G23" i="10"/>
  <c r="G24" i="10"/>
  <c r="G25" i="10"/>
  <c r="G26" i="10"/>
  <c r="G28" i="10"/>
  <c r="G29" i="10"/>
  <c r="G30" i="10"/>
  <c r="G31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G327" i="10"/>
  <c r="G328" i="10"/>
  <c r="G329" i="10"/>
  <c r="G330" i="10"/>
  <c r="G331" i="10"/>
  <c r="G332" i="10"/>
  <c r="G333" i="10"/>
  <c r="G334" i="10"/>
  <c r="G335" i="10"/>
  <c r="G336" i="10"/>
  <c r="G337" i="10"/>
  <c r="G338" i="10"/>
  <c r="G339" i="10"/>
  <c r="G340" i="10"/>
  <c r="G341" i="10"/>
  <c r="G342" i="10"/>
  <c r="G343" i="10"/>
  <c r="G344" i="10"/>
  <c r="G345" i="10"/>
  <c r="G346" i="10"/>
  <c r="G347" i="10"/>
  <c r="G348" i="10"/>
  <c r="G349" i="10"/>
  <c r="G350" i="10"/>
  <c r="G351" i="10"/>
  <c r="G352" i="10"/>
  <c r="G353" i="10"/>
  <c r="G354" i="10"/>
  <c r="G355" i="10"/>
  <c r="G356" i="10"/>
  <c r="G357" i="10"/>
  <c r="G358" i="10"/>
  <c r="G359" i="10"/>
  <c r="G360" i="10"/>
  <c r="G361" i="10"/>
  <c r="G362" i="10"/>
  <c r="G363" i="10"/>
  <c r="G364" i="10"/>
  <c r="G365" i="10"/>
  <c r="G366" i="10"/>
  <c r="G367" i="10"/>
  <c r="G368" i="10"/>
  <c r="G369" i="10"/>
  <c r="G370" i="10"/>
  <c r="G371" i="10"/>
  <c r="G372" i="10"/>
  <c r="G373" i="10"/>
  <c r="G374" i="10"/>
  <c r="G375" i="10"/>
  <c r="G376" i="10"/>
  <c r="G377" i="10"/>
  <c r="G378" i="10"/>
  <c r="G379" i="10"/>
  <c r="G380" i="10"/>
  <c r="G381" i="10"/>
  <c r="G382" i="10"/>
  <c r="G383" i="10"/>
  <c r="G384" i="10"/>
  <c r="G385" i="10"/>
  <c r="G386" i="10"/>
  <c r="G387" i="10"/>
  <c r="G388" i="10"/>
  <c r="G389" i="10"/>
  <c r="G390" i="10"/>
  <c r="G391" i="10"/>
  <c r="G392" i="10"/>
  <c r="G393" i="10"/>
  <c r="G394" i="10"/>
  <c r="G395" i="10"/>
  <c r="G396" i="10"/>
  <c r="G397" i="10"/>
  <c r="G398" i="10"/>
  <c r="G399" i="10"/>
  <c r="G400" i="10"/>
  <c r="G401" i="10"/>
  <c r="G402" i="10"/>
  <c r="G403" i="10"/>
  <c r="G404" i="10"/>
  <c r="G405" i="10"/>
  <c r="G406" i="10"/>
  <c r="G407" i="10"/>
  <c r="G408" i="10"/>
  <c r="G409" i="10"/>
  <c r="G410" i="10"/>
  <c r="G411" i="10"/>
  <c r="G412" i="10"/>
  <c r="G413" i="10"/>
  <c r="G414" i="10"/>
  <c r="G415" i="10"/>
  <c r="G416" i="10"/>
  <c r="G417" i="10"/>
  <c r="G418" i="10"/>
  <c r="G419" i="10"/>
  <c r="G420" i="10"/>
  <c r="G421" i="10"/>
  <c r="G422" i="10"/>
  <c r="G423" i="10"/>
  <c r="G424" i="10"/>
  <c r="G425" i="10"/>
  <c r="G426" i="10"/>
  <c r="G427" i="10"/>
  <c r="G428" i="10"/>
  <c r="G429" i="10"/>
  <c r="G430" i="10"/>
  <c r="G431" i="10"/>
  <c r="G432" i="10"/>
  <c r="G433" i="10"/>
  <c r="G434" i="10"/>
  <c r="G435" i="10"/>
  <c r="G436" i="10"/>
  <c r="G437" i="10"/>
  <c r="G438" i="10"/>
  <c r="G439" i="10"/>
  <c r="G440" i="10"/>
  <c r="G441" i="10"/>
  <c r="G442" i="10"/>
  <c r="G443" i="10"/>
  <c r="G444" i="10"/>
  <c r="G445" i="10"/>
  <c r="G446" i="10"/>
  <c r="G447" i="10"/>
  <c r="G448" i="10"/>
  <c r="G449" i="10"/>
  <c r="G450" i="10"/>
  <c r="G451" i="10"/>
  <c r="G452" i="10"/>
  <c r="G453" i="10"/>
  <c r="G454" i="10"/>
  <c r="G455" i="10"/>
  <c r="G456" i="10"/>
  <c r="G457" i="10"/>
  <c r="G458" i="10"/>
  <c r="G459" i="10"/>
  <c r="G460" i="10"/>
  <c r="G461" i="10"/>
  <c r="G462" i="10"/>
  <c r="G463" i="10"/>
  <c r="G464" i="10"/>
  <c r="G465" i="10"/>
  <c r="G466" i="10"/>
  <c r="G467" i="10"/>
  <c r="G468" i="10"/>
  <c r="G469" i="10"/>
  <c r="G470" i="10"/>
  <c r="G471" i="10"/>
  <c r="G472" i="10"/>
  <c r="G473" i="10"/>
  <c r="G474" i="10"/>
  <c r="G475" i="10"/>
  <c r="G476" i="10"/>
  <c r="G477" i="10"/>
  <c r="G478" i="10"/>
  <c r="G479" i="10"/>
  <c r="G480" i="10"/>
  <c r="G481" i="10"/>
  <c r="G482" i="10"/>
  <c r="G483" i="10"/>
  <c r="G484" i="10"/>
  <c r="G485" i="10"/>
  <c r="G486" i="10"/>
  <c r="G487" i="10"/>
  <c r="G488" i="10"/>
  <c r="G489" i="10"/>
  <c r="G490" i="10"/>
  <c r="G491" i="10"/>
  <c r="G492" i="10"/>
  <c r="G493" i="10"/>
  <c r="G494" i="10"/>
  <c r="G495" i="10"/>
  <c r="G496" i="10"/>
  <c r="G497" i="10"/>
  <c r="G498" i="10"/>
  <c r="G499" i="10"/>
  <c r="G500" i="10"/>
  <c r="G501" i="10"/>
  <c r="G502" i="10"/>
  <c r="G503" i="10"/>
  <c r="G504" i="10"/>
  <c r="G505" i="10"/>
  <c r="G506" i="10"/>
  <c r="G507" i="10"/>
  <c r="G508" i="10"/>
  <c r="G509" i="10"/>
  <c r="G510" i="10"/>
  <c r="G511" i="10"/>
  <c r="G512" i="10"/>
  <c r="G513" i="10"/>
  <c r="G514" i="10"/>
  <c r="G515" i="10"/>
  <c r="G516" i="10"/>
  <c r="G517" i="10"/>
  <c r="G518" i="10"/>
  <c r="G519" i="10"/>
  <c r="G520" i="10"/>
  <c r="G521" i="10"/>
  <c r="G522" i="10"/>
  <c r="G523" i="10"/>
  <c r="G524" i="10"/>
  <c r="G525" i="10"/>
  <c r="G526" i="10"/>
  <c r="G527" i="10"/>
  <c r="G528" i="10"/>
  <c r="G529" i="10"/>
  <c r="G530" i="10"/>
  <c r="G531" i="10"/>
  <c r="G532" i="10"/>
  <c r="G533" i="10"/>
  <c r="G534" i="10"/>
  <c r="G535" i="10"/>
  <c r="G536" i="10"/>
  <c r="G537" i="10"/>
  <c r="G538" i="10"/>
  <c r="G539" i="10"/>
  <c r="G540" i="10"/>
  <c r="G541" i="10"/>
  <c r="G542" i="10"/>
  <c r="G543" i="10"/>
  <c r="G544" i="10"/>
  <c r="G545" i="10"/>
  <c r="G546" i="10"/>
  <c r="G547" i="10"/>
  <c r="G548" i="10"/>
  <c r="G549" i="10"/>
  <c r="G550" i="10"/>
  <c r="G551" i="10"/>
  <c r="G552" i="10"/>
  <c r="G553" i="10"/>
  <c r="G554" i="10"/>
  <c r="G555" i="10"/>
  <c r="G556" i="10"/>
  <c r="G557" i="10"/>
  <c r="G558" i="10"/>
  <c r="G559" i="10"/>
  <c r="G560" i="10"/>
  <c r="G561" i="10"/>
  <c r="G562" i="10"/>
  <c r="G563" i="10"/>
  <c r="G564" i="10"/>
  <c r="G565" i="10"/>
  <c r="G566" i="10"/>
  <c r="G567" i="10"/>
  <c r="G568" i="10"/>
  <c r="G569" i="10"/>
  <c r="G570" i="10"/>
  <c r="G571" i="10"/>
  <c r="G572" i="10"/>
  <c r="G573" i="10"/>
  <c r="G574" i="10"/>
  <c r="G575" i="10"/>
  <c r="G576" i="10"/>
  <c r="G577" i="10"/>
  <c r="G578" i="10"/>
  <c r="G579" i="10"/>
  <c r="G580" i="10"/>
  <c r="G581" i="10"/>
  <c r="G582" i="10"/>
  <c r="G583" i="10"/>
  <c r="G584" i="10"/>
  <c r="G585" i="10"/>
  <c r="G586" i="10"/>
  <c r="G587" i="10"/>
  <c r="G588" i="10"/>
  <c r="G589" i="10"/>
  <c r="G590" i="10"/>
  <c r="G591" i="10"/>
  <c r="G592" i="10"/>
  <c r="G593" i="10"/>
  <c r="G594" i="10"/>
  <c r="G595" i="10"/>
  <c r="G596" i="10"/>
  <c r="G597" i="10"/>
  <c r="G598" i="10"/>
  <c r="G599" i="10"/>
  <c r="G600" i="10"/>
  <c r="G601" i="10"/>
  <c r="G602" i="10"/>
  <c r="G603" i="10"/>
  <c r="G604" i="10"/>
  <c r="G605" i="10"/>
  <c r="G606" i="10"/>
  <c r="G607" i="10"/>
  <c r="G608" i="10"/>
  <c r="G609" i="10"/>
  <c r="G610" i="10"/>
  <c r="G611" i="10"/>
  <c r="G612" i="10"/>
  <c r="G613" i="10"/>
  <c r="G614" i="10"/>
  <c r="G615" i="10"/>
  <c r="G616" i="10"/>
  <c r="G617" i="10"/>
  <c r="G618" i="10"/>
  <c r="G619" i="10"/>
  <c r="G620" i="10"/>
  <c r="G621" i="10"/>
  <c r="G622" i="10"/>
  <c r="G623" i="10"/>
  <c r="G624" i="10"/>
  <c r="G625" i="10"/>
  <c r="G626" i="10"/>
  <c r="G627" i="10"/>
  <c r="G628" i="10"/>
  <c r="G629" i="10"/>
  <c r="G630" i="10"/>
  <c r="G631" i="10"/>
  <c r="G632" i="10"/>
  <c r="G633" i="10"/>
  <c r="G634" i="10"/>
  <c r="G635" i="10"/>
  <c r="G636" i="10"/>
  <c r="G637" i="10"/>
  <c r="G638" i="10"/>
  <c r="G639" i="10"/>
  <c r="G640" i="10"/>
  <c r="F624" i="10"/>
  <c r="F623" i="10"/>
  <c r="F622" i="10"/>
  <c r="F621" i="10"/>
  <c r="F620" i="10"/>
  <c r="F619" i="10"/>
  <c r="F616" i="10"/>
  <c r="F615" i="10"/>
  <c r="F614" i="10"/>
  <c r="F588" i="10"/>
  <c r="F562" i="10"/>
  <c r="F613" i="10"/>
  <c r="F587" i="10"/>
  <c r="F561" i="10"/>
  <c r="F612" i="10"/>
  <c r="F586" i="10"/>
  <c r="F560" i="10"/>
  <c r="F611" i="10"/>
  <c r="F585" i="10"/>
  <c r="F584" i="10"/>
  <c r="F557" i="10"/>
  <c r="F608" i="10"/>
  <c r="F556" i="10"/>
  <c r="F607" i="10"/>
  <c r="F581" i="10"/>
  <c r="F606" i="10"/>
  <c r="F580" i="10"/>
  <c r="F605" i="10"/>
  <c r="F579" i="10"/>
  <c r="F553" i="10"/>
  <c r="F640" i="10"/>
  <c r="F604" i="10"/>
  <c r="F552" i="10"/>
  <c r="F639" i="10"/>
  <c r="F603" i="10"/>
  <c r="F551" i="10"/>
  <c r="F576" i="10"/>
  <c r="F575" i="10"/>
  <c r="F636" i="10"/>
  <c r="F600" i="10"/>
  <c r="F574" i="10"/>
  <c r="F548" i="10"/>
  <c r="F635" i="10"/>
  <c r="F599" i="10"/>
  <c r="F547" i="10"/>
  <c r="F598" i="10"/>
  <c r="F546" i="10"/>
  <c r="F597" i="10"/>
  <c r="F571" i="10"/>
  <c r="F632" i="10"/>
  <c r="F596" i="10"/>
  <c r="F570" i="10"/>
  <c r="F631" i="10"/>
  <c r="F595" i="10"/>
  <c r="F569" i="10"/>
  <c r="F543" i="10"/>
  <c r="F630" i="10"/>
  <c r="F594" i="10"/>
  <c r="F568" i="10"/>
  <c r="F542" i="10"/>
  <c r="F629" i="10"/>
  <c r="F593" i="10"/>
  <c r="F567" i="10"/>
  <c r="F541" i="10"/>
  <c r="F501" i="10"/>
  <c r="F500" i="10"/>
  <c r="F499" i="10"/>
  <c r="F498" i="10"/>
  <c r="F497" i="10"/>
  <c r="F494" i="10"/>
  <c r="F493" i="10"/>
  <c r="F492" i="10"/>
  <c r="F491" i="10"/>
  <c r="F490" i="10"/>
  <c r="F489" i="10"/>
  <c r="F486" i="10"/>
  <c r="F485" i="10"/>
  <c r="F484" i="10"/>
  <c r="F483" i="10"/>
  <c r="F482" i="10"/>
  <c r="F536" i="10"/>
  <c r="F520" i="10"/>
  <c r="F462" i="10"/>
  <c r="F535" i="10"/>
  <c r="F519" i="10"/>
  <c r="F534" i="10"/>
  <c r="F518" i="10"/>
  <c r="F479" i="10"/>
  <c r="F533" i="10"/>
  <c r="F517" i="10"/>
  <c r="F478" i="10"/>
  <c r="F459" i="10"/>
  <c r="F532" i="10"/>
  <c r="F477" i="10"/>
  <c r="F458" i="10"/>
  <c r="F531" i="10"/>
  <c r="F476" i="10"/>
  <c r="F514" i="10"/>
  <c r="F475" i="10"/>
  <c r="F513" i="10"/>
  <c r="F455" i="10"/>
  <c r="F528" i="10"/>
  <c r="F512" i="10"/>
  <c r="F454" i="10"/>
  <c r="F527" i="10"/>
  <c r="F511" i="10"/>
  <c r="F472" i="10"/>
  <c r="F471" i="10"/>
  <c r="F470" i="10"/>
  <c r="F451" i="10"/>
  <c r="F524" i="10"/>
  <c r="F508" i="10"/>
  <c r="F469" i="10"/>
  <c r="F450" i="10"/>
  <c r="F523" i="10"/>
  <c r="F507" i="10"/>
  <c r="F468" i="10"/>
  <c r="F449" i="10"/>
  <c r="F522" i="10"/>
  <c r="F506" i="10"/>
  <c r="F467" i="10"/>
  <c r="F448" i="10"/>
  <c r="F443" i="10"/>
  <c r="F442" i="10"/>
  <c r="F441" i="10"/>
  <c r="F440" i="10"/>
  <c r="F439" i="10"/>
  <c r="F438" i="10"/>
  <c r="F437" i="10"/>
  <c r="F436" i="10"/>
  <c r="F344" i="10"/>
  <c r="F433" i="10"/>
  <c r="F376" i="10"/>
  <c r="F343" i="10"/>
  <c r="F432" i="10"/>
  <c r="F375" i="10"/>
  <c r="F342" i="10"/>
  <c r="F431" i="10"/>
  <c r="F374" i="10"/>
  <c r="F341" i="10"/>
  <c r="F430" i="10"/>
  <c r="F373" i="10"/>
  <c r="F429" i="10"/>
  <c r="F398" i="10"/>
  <c r="F372" i="10"/>
  <c r="F426" i="10"/>
  <c r="F395" i="10"/>
  <c r="F369" i="10"/>
  <c r="F338" i="10"/>
  <c r="F425" i="10"/>
  <c r="F394" i="10"/>
  <c r="F368" i="10"/>
  <c r="F337" i="10"/>
  <c r="F424" i="10"/>
  <c r="F393" i="10"/>
  <c r="F367" i="10"/>
  <c r="F336" i="10"/>
  <c r="F423" i="10"/>
  <c r="F392" i="10"/>
  <c r="F366" i="10"/>
  <c r="F335" i="10"/>
  <c r="F422" i="10"/>
  <c r="F391" i="10"/>
  <c r="F365" i="10"/>
  <c r="F334" i="10"/>
  <c r="F364" i="10"/>
  <c r="F333" i="10"/>
  <c r="F363" i="10"/>
  <c r="F332" i="10"/>
  <c r="F419" i="10"/>
  <c r="F388" i="10"/>
  <c r="F362" i="10"/>
  <c r="F331" i="10"/>
  <c r="F418" i="10"/>
  <c r="F387" i="10"/>
  <c r="F361" i="10"/>
  <c r="F417" i="10"/>
  <c r="F386" i="10"/>
  <c r="F416" i="10"/>
  <c r="F385" i="10"/>
  <c r="F328" i="10"/>
  <c r="F415" i="10"/>
  <c r="F384" i="10"/>
  <c r="F358" i="10"/>
  <c r="F327" i="10"/>
  <c r="F357" i="10"/>
  <c r="F326" i="10"/>
  <c r="F356" i="10"/>
  <c r="F412" i="10"/>
  <c r="F381" i="10"/>
  <c r="F355" i="10"/>
  <c r="F411" i="10"/>
  <c r="F380" i="10"/>
  <c r="F354" i="10"/>
  <c r="F323" i="10"/>
  <c r="F410" i="10"/>
  <c r="F379" i="10"/>
  <c r="F353" i="10"/>
  <c r="F322" i="10"/>
  <c r="F409" i="10"/>
  <c r="F378" i="10"/>
  <c r="F352" i="10"/>
  <c r="F321" i="10"/>
  <c r="F282" i="10"/>
  <c r="F281" i="10"/>
  <c r="F280" i="10"/>
  <c r="F279" i="10"/>
  <c r="F278" i="10"/>
  <c r="F277" i="10"/>
  <c r="F276" i="10"/>
  <c r="F275" i="10"/>
  <c r="F316" i="10"/>
  <c r="F274" i="10"/>
  <c r="F315" i="10"/>
  <c r="F273" i="10"/>
  <c r="F314" i="10"/>
  <c r="F272" i="10"/>
  <c r="F203" i="10"/>
  <c r="F271" i="10"/>
  <c r="F202" i="10"/>
  <c r="F201" i="10"/>
  <c r="F311" i="10"/>
  <c r="F200" i="10"/>
  <c r="F310" i="10"/>
  <c r="F268" i="10"/>
  <c r="F234" i="10"/>
  <c r="F199" i="10"/>
  <c r="F309" i="10"/>
  <c r="F267" i="10"/>
  <c r="F233" i="10"/>
  <c r="F308" i="10"/>
  <c r="F266" i="10"/>
  <c r="F232" i="10"/>
  <c r="F307" i="10"/>
  <c r="F265" i="10"/>
  <c r="F231" i="10"/>
  <c r="F196" i="10"/>
  <c r="F264" i="10"/>
  <c r="F230" i="10"/>
  <c r="F195" i="10"/>
  <c r="F263" i="10"/>
  <c r="F229" i="10"/>
  <c r="F304" i="10"/>
  <c r="F228" i="10"/>
  <c r="F303" i="10"/>
  <c r="F192" i="10"/>
  <c r="F302" i="10"/>
  <c r="F260" i="10"/>
  <c r="F191" i="10"/>
  <c r="F301" i="10"/>
  <c r="F259" i="10"/>
  <c r="F225" i="10"/>
  <c r="F190" i="10"/>
  <c r="F300" i="10"/>
  <c r="F258" i="10"/>
  <c r="F224" i="10"/>
  <c r="F189" i="10"/>
  <c r="F299" i="10"/>
  <c r="F257" i="10"/>
  <c r="F223" i="10"/>
  <c r="F188" i="10"/>
  <c r="F187" i="10"/>
  <c r="F296" i="10"/>
  <c r="F254" i="10"/>
  <c r="F220" i="10"/>
  <c r="F295" i="10"/>
  <c r="F253" i="10"/>
  <c r="F219" i="10"/>
  <c r="F184" i="10"/>
  <c r="F294" i="10"/>
  <c r="F252" i="10"/>
  <c r="F218" i="10"/>
  <c r="F183" i="10"/>
  <c r="F293" i="10"/>
  <c r="F251" i="10"/>
  <c r="F217" i="10"/>
  <c r="F182" i="10"/>
  <c r="F292" i="10"/>
  <c r="F216" i="10"/>
  <c r="F181" i="10"/>
  <c r="F291" i="10"/>
  <c r="F180" i="10"/>
  <c r="F290" i="10"/>
  <c r="F248" i="10"/>
  <c r="F179" i="10"/>
  <c r="F247" i="10"/>
  <c r="F213" i="10"/>
  <c r="F246" i="10"/>
  <c r="F212" i="10"/>
  <c r="F287" i="10"/>
  <c r="F245" i="10"/>
  <c r="F211" i="10"/>
  <c r="F176" i="10"/>
  <c r="F286" i="10"/>
  <c r="F244" i="10"/>
  <c r="F210" i="10"/>
  <c r="F175" i="10"/>
  <c r="F285" i="10"/>
  <c r="F243" i="10"/>
  <c r="F209" i="10"/>
  <c r="F174" i="10"/>
  <c r="F284" i="10"/>
  <c r="F242" i="10"/>
  <c r="F208" i="10"/>
  <c r="F173" i="10"/>
  <c r="F99" i="10"/>
  <c r="F168" i="10"/>
  <c r="F96" i="10"/>
  <c r="F167" i="10"/>
  <c r="F147" i="10"/>
  <c r="F123" i="10"/>
  <c r="F95" i="10"/>
  <c r="F166" i="10"/>
  <c r="F146" i="10"/>
  <c r="F122" i="10"/>
  <c r="F94" i="10"/>
  <c r="F165" i="10"/>
  <c r="F93" i="10"/>
  <c r="F164" i="10"/>
  <c r="F92" i="10"/>
  <c r="F163" i="10"/>
  <c r="F143" i="10"/>
  <c r="F119" i="10"/>
  <c r="F142" i="10"/>
  <c r="F118" i="10"/>
  <c r="F141" i="10"/>
  <c r="F117" i="10"/>
  <c r="F89" i="10"/>
  <c r="F160" i="10"/>
  <c r="F116" i="10"/>
  <c r="F88" i="10"/>
  <c r="F87" i="10"/>
  <c r="F138" i="10"/>
  <c r="F86" i="10"/>
  <c r="F157" i="10"/>
  <c r="F137" i="10"/>
  <c r="F113" i="10"/>
  <c r="F156" i="10"/>
  <c r="F136" i="10"/>
  <c r="F112" i="10"/>
  <c r="F135" i="10"/>
  <c r="F111" i="10"/>
  <c r="F83" i="10"/>
  <c r="F134" i="10"/>
  <c r="F110" i="10"/>
  <c r="F82" i="10"/>
  <c r="F153" i="10"/>
  <c r="F109" i="10"/>
  <c r="F81" i="10"/>
  <c r="F152" i="10"/>
  <c r="F131" i="10"/>
  <c r="F130" i="10"/>
  <c r="F106" i="10"/>
  <c r="F78" i="10"/>
  <c r="F129" i="10"/>
  <c r="F105" i="10"/>
  <c r="F77" i="10"/>
  <c r="F128" i="10"/>
  <c r="F104" i="10"/>
  <c r="F76" i="10"/>
  <c r="F33" i="10"/>
  <c r="F30" i="10"/>
  <c r="F66" i="10"/>
  <c r="F29" i="10"/>
  <c r="F49" i="10"/>
  <c r="F28" i="10"/>
  <c r="F63" i="10"/>
  <c r="F62" i="10"/>
  <c r="F46" i="10"/>
  <c r="F25" i="10"/>
  <c r="F45" i="10"/>
  <c r="F24" i="10"/>
  <c r="F23" i="10"/>
  <c r="F59" i="10"/>
  <c r="F22" i="10"/>
  <c r="F58" i="10"/>
  <c r="F42" i="10"/>
  <c r="F74" i="10"/>
  <c r="F41" i="10"/>
  <c r="F19" i="10"/>
  <c r="F55" i="10"/>
  <c r="F71" i="10"/>
  <c r="F38" i="10"/>
  <c r="F16" i="10"/>
  <c r="F52" i="10"/>
  <c r="F15" i="10"/>
  <c r="F68" i="10"/>
  <c r="F51" i="10"/>
  <c r="F35" i="10"/>
  <c r="F14" i="10"/>
  <c r="I228" i="9"/>
  <c r="I227" i="9"/>
  <c r="I226" i="9"/>
  <c r="I225" i="9"/>
  <c r="I224" i="9"/>
  <c r="I223" i="9"/>
  <c r="I220" i="9"/>
  <c r="I219" i="9"/>
  <c r="I218" i="9"/>
  <c r="F218" i="9"/>
  <c r="C218" i="9"/>
  <c r="I217" i="9"/>
  <c r="F217" i="9"/>
  <c r="C217" i="9"/>
  <c r="I216" i="9"/>
  <c r="F216" i="9"/>
  <c r="C216" i="9"/>
  <c r="I215" i="9"/>
  <c r="F215" i="9"/>
  <c r="F214" i="9"/>
  <c r="C213" i="9"/>
  <c r="I212" i="9"/>
  <c r="C212" i="9"/>
  <c r="I211" i="9"/>
  <c r="F211" i="9"/>
  <c r="I210" i="9"/>
  <c r="F210" i="9"/>
  <c r="I209" i="9"/>
  <c r="F209" i="9"/>
  <c r="C209" i="9"/>
  <c r="L208" i="9"/>
  <c r="I208" i="9"/>
  <c r="C208" i="9"/>
  <c r="L207" i="9"/>
  <c r="I207" i="9"/>
  <c r="C207" i="9"/>
  <c r="F206" i="9"/>
  <c r="F205" i="9"/>
  <c r="L204" i="9"/>
  <c r="I204" i="9"/>
  <c r="F204" i="9"/>
  <c r="C204" i="9"/>
  <c r="L203" i="9"/>
  <c r="I203" i="9"/>
  <c r="C203" i="9"/>
  <c r="I202" i="9"/>
  <c r="C202" i="9"/>
  <c r="I201" i="9"/>
  <c r="F201" i="9"/>
  <c r="L200" i="9"/>
  <c r="I200" i="9"/>
  <c r="F200" i="9"/>
  <c r="L199" i="9"/>
  <c r="I199" i="9"/>
  <c r="F199" i="9"/>
  <c r="C199" i="9"/>
  <c r="L198" i="9"/>
  <c r="I198" i="9"/>
  <c r="F198" i="9"/>
  <c r="C198" i="9"/>
  <c r="L197" i="9"/>
  <c r="I197" i="9"/>
  <c r="F197" i="9"/>
  <c r="C197" i="9"/>
  <c r="F189" i="9"/>
  <c r="F188" i="9"/>
  <c r="F187" i="9"/>
  <c r="F186" i="9"/>
  <c r="F185" i="9"/>
  <c r="F182" i="9"/>
  <c r="F181" i="9"/>
  <c r="F180" i="9"/>
  <c r="F179" i="9"/>
  <c r="F178" i="9"/>
  <c r="F177" i="9"/>
  <c r="F174" i="9"/>
  <c r="F173" i="9"/>
  <c r="F172" i="9"/>
  <c r="F171" i="9"/>
  <c r="F170" i="9"/>
  <c r="L169" i="9"/>
  <c r="I169" i="9"/>
  <c r="C169" i="9"/>
  <c r="L168" i="9"/>
  <c r="I168" i="9"/>
  <c r="L167" i="9"/>
  <c r="I167" i="9"/>
  <c r="F167" i="9"/>
  <c r="L166" i="9"/>
  <c r="I166" i="9"/>
  <c r="F166" i="9"/>
  <c r="C166" i="9"/>
  <c r="L165" i="9"/>
  <c r="F165" i="9"/>
  <c r="C165" i="9"/>
  <c r="L164" i="9"/>
  <c r="F164" i="9"/>
  <c r="I163" i="9"/>
  <c r="F163" i="9"/>
  <c r="I162" i="9"/>
  <c r="C162" i="9"/>
  <c r="L161" i="9"/>
  <c r="I161" i="9"/>
  <c r="C161" i="9"/>
  <c r="L160" i="9"/>
  <c r="I160" i="9"/>
  <c r="F160" i="9"/>
  <c r="F159" i="9"/>
  <c r="F158" i="9"/>
  <c r="C158" i="9"/>
  <c r="L157" i="9"/>
  <c r="I157" i="9"/>
  <c r="F157" i="9"/>
  <c r="C157" i="9"/>
  <c r="L156" i="9"/>
  <c r="I156" i="9"/>
  <c r="F156" i="9"/>
  <c r="C156" i="9"/>
  <c r="L155" i="9"/>
  <c r="I155" i="9"/>
  <c r="F155" i="9"/>
  <c r="C155" i="9"/>
  <c r="L147" i="9"/>
  <c r="L146" i="9"/>
  <c r="L145" i="9"/>
  <c r="L144" i="9"/>
  <c r="L143" i="9"/>
  <c r="L142" i="9"/>
  <c r="L141" i="9"/>
  <c r="L140" i="9"/>
  <c r="C138" i="9"/>
  <c r="L137" i="9"/>
  <c r="F137" i="9"/>
  <c r="C137" i="9"/>
  <c r="L136" i="9"/>
  <c r="F136" i="9"/>
  <c r="C136" i="9"/>
  <c r="L135" i="9"/>
  <c r="F135" i="9"/>
  <c r="C135" i="9"/>
  <c r="L134" i="9"/>
  <c r="F134" i="9"/>
  <c r="L133" i="9"/>
  <c r="I133" i="9"/>
  <c r="F133" i="9"/>
  <c r="L130" i="9"/>
  <c r="I130" i="9"/>
  <c r="F130" i="9"/>
  <c r="C130" i="9"/>
  <c r="L129" i="9"/>
  <c r="I129" i="9"/>
  <c r="F129" i="9"/>
  <c r="C129" i="9"/>
  <c r="L128" i="9"/>
  <c r="I128" i="9"/>
  <c r="F128" i="9"/>
  <c r="C128" i="9"/>
  <c r="L127" i="9"/>
  <c r="I127" i="9"/>
  <c r="F127" i="9"/>
  <c r="C127" i="9"/>
  <c r="L126" i="9"/>
  <c r="I126" i="9"/>
  <c r="F126" i="9"/>
  <c r="C126" i="9"/>
  <c r="F125" i="9"/>
  <c r="C125" i="9"/>
  <c r="F124" i="9"/>
  <c r="C124" i="9"/>
  <c r="L123" i="9"/>
  <c r="I123" i="9"/>
  <c r="F123" i="9"/>
  <c r="C123" i="9"/>
  <c r="L122" i="9"/>
  <c r="I122" i="9"/>
  <c r="F122" i="9"/>
  <c r="L121" i="9"/>
  <c r="I121" i="9"/>
  <c r="L120" i="9"/>
  <c r="I120" i="9"/>
  <c r="C120" i="9"/>
  <c r="L119" i="9"/>
  <c r="I119" i="9"/>
  <c r="F119" i="9"/>
  <c r="C119" i="9"/>
  <c r="F118" i="9"/>
  <c r="C118" i="9"/>
  <c r="F117" i="9"/>
  <c r="L116" i="9"/>
  <c r="I116" i="9"/>
  <c r="F116" i="9"/>
  <c r="L115" i="9"/>
  <c r="I115" i="9"/>
  <c r="F115" i="9"/>
  <c r="C115" i="9"/>
  <c r="L114" i="9"/>
  <c r="I114" i="9"/>
  <c r="F114" i="9"/>
  <c r="C114" i="9"/>
  <c r="L113" i="9"/>
  <c r="I113" i="9"/>
  <c r="F113" i="9"/>
  <c r="C113" i="9"/>
  <c r="I109" i="9"/>
  <c r="I108" i="9"/>
  <c r="I107" i="9"/>
  <c r="I106" i="9"/>
  <c r="I105" i="9"/>
  <c r="I104" i="9"/>
  <c r="I103" i="9"/>
  <c r="I102" i="9"/>
  <c r="L101" i="9"/>
  <c r="I101" i="9"/>
  <c r="L100" i="9"/>
  <c r="I100" i="9"/>
  <c r="L99" i="9"/>
  <c r="I99" i="9"/>
  <c r="C99" i="9"/>
  <c r="I98" i="9"/>
  <c r="C98" i="9"/>
  <c r="C97" i="9"/>
  <c r="L96" i="9"/>
  <c r="C96" i="9"/>
  <c r="L95" i="9"/>
  <c r="I95" i="9"/>
  <c r="F95" i="9"/>
  <c r="C95" i="9"/>
  <c r="L94" i="9"/>
  <c r="I94" i="9"/>
  <c r="F94" i="9"/>
  <c r="L93" i="9"/>
  <c r="I93" i="9"/>
  <c r="F93" i="9"/>
  <c r="L92" i="9"/>
  <c r="I92" i="9"/>
  <c r="F92" i="9"/>
  <c r="C92" i="9"/>
  <c r="I91" i="9"/>
  <c r="F91" i="9"/>
  <c r="C91" i="9"/>
  <c r="I90" i="9"/>
  <c r="F90" i="9"/>
  <c r="L89" i="9"/>
  <c r="F89" i="9"/>
  <c r="L88" i="9"/>
  <c r="C88" i="9"/>
  <c r="L87" i="9"/>
  <c r="I87" i="9"/>
  <c r="C87" i="9"/>
  <c r="L86" i="9"/>
  <c r="I86" i="9"/>
  <c r="F86" i="9"/>
  <c r="C86" i="9"/>
  <c r="L85" i="9"/>
  <c r="I85" i="9"/>
  <c r="F85" i="9"/>
  <c r="C85" i="9"/>
  <c r="L84" i="9"/>
  <c r="I84" i="9"/>
  <c r="F84" i="9"/>
  <c r="C84" i="9"/>
  <c r="C83" i="9"/>
  <c r="L81" i="9"/>
  <c r="I81" i="9"/>
  <c r="F81" i="9"/>
  <c r="L80" i="9"/>
  <c r="I80" i="9"/>
  <c r="F80" i="9"/>
  <c r="C80" i="9"/>
  <c r="L79" i="9"/>
  <c r="I79" i="9"/>
  <c r="F79" i="9"/>
  <c r="C79" i="9"/>
  <c r="L78" i="9"/>
  <c r="I78" i="9"/>
  <c r="F78" i="9"/>
  <c r="C78" i="9"/>
  <c r="L77" i="9"/>
  <c r="F77" i="9"/>
  <c r="C77" i="9"/>
  <c r="L76" i="9"/>
  <c r="C76" i="9"/>
  <c r="L75" i="9"/>
  <c r="I75" i="9"/>
  <c r="C75" i="9"/>
  <c r="I74" i="9"/>
  <c r="F74" i="9"/>
  <c r="I73" i="9"/>
  <c r="F73" i="9"/>
  <c r="L72" i="9"/>
  <c r="I72" i="9"/>
  <c r="F72" i="9"/>
  <c r="C72" i="9"/>
  <c r="L71" i="9"/>
  <c r="I71" i="9"/>
  <c r="F71" i="9"/>
  <c r="C71" i="9"/>
  <c r="L70" i="9"/>
  <c r="I70" i="9"/>
  <c r="F70" i="9"/>
  <c r="C70" i="9"/>
  <c r="L69" i="9"/>
  <c r="I69" i="9"/>
  <c r="F69" i="9"/>
  <c r="C69" i="9"/>
  <c r="C60" i="9"/>
  <c r="L57" i="9"/>
  <c r="C57" i="9"/>
  <c r="L56" i="9"/>
  <c r="I56" i="9"/>
  <c r="F56" i="9"/>
  <c r="C56" i="9"/>
  <c r="L55" i="9"/>
  <c r="I55" i="9"/>
  <c r="F55" i="9"/>
  <c r="C55" i="9"/>
  <c r="L54" i="9"/>
  <c r="C54" i="9"/>
  <c r="L53" i="9"/>
  <c r="C53" i="9"/>
  <c r="L52" i="9"/>
  <c r="I52" i="9"/>
  <c r="F52" i="9"/>
  <c r="I51" i="9"/>
  <c r="F51" i="9"/>
  <c r="I50" i="9"/>
  <c r="F50" i="9"/>
  <c r="C50" i="9"/>
  <c r="L49" i="9"/>
  <c r="F49" i="9"/>
  <c r="C49" i="9"/>
  <c r="C48" i="9"/>
  <c r="I47" i="9"/>
  <c r="C47" i="9"/>
  <c r="L46" i="9"/>
  <c r="I46" i="9"/>
  <c r="F46" i="9"/>
  <c r="L45" i="9"/>
  <c r="I45" i="9"/>
  <c r="F45" i="9"/>
  <c r="I44" i="9"/>
  <c r="F44" i="9"/>
  <c r="C44" i="9"/>
  <c r="I43" i="9"/>
  <c r="F43" i="9"/>
  <c r="C43" i="9"/>
  <c r="L42" i="9"/>
  <c r="F42" i="9"/>
  <c r="C42" i="9"/>
  <c r="L41" i="9"/>
  <c r="I40" i="9"/>
  <c r="I39" i="9"/>
  <c r="F39" i="9"/>
  <c r="C39" i="9"/>
  <c r="I38" i="9"/>
  <c r="F38" i="9"/>
  <c r="C38" i="9"/>
  <c r="I37" i="9"/>
  <c r="F37" i="9"/>
  <c r="C37" i="9"/>
  <c r="C33" i="9"/>
  <c r="C30" i="9"/>
  <c r="I29" i="9"/>
  <c r="C29" i="9"/>
  <c r="F28" i="9"/>
  <c r="C28" i="9"/>
  <c r="I26" i="9"/>
  <c r="I25" i="9"/>
  <c r="F25" i="9"/>
  <c r="C25" i="9"/>
  <c r="F24" i="9"/>
  <c r="C24" i="9"/>
  <c r="C23" i="9"/>
  <c r="I22" i="9"/>
  <c r="C22" i="9"/>
  <c r="I21" i="9"/>
  <c r="F21" i="9"/>
  <c r="L20" i="9"/>
  <c r="F20" i="9"/>
  <c r="C19" i="9"/>
  <c r="I18" i="9"/>
  <c r="L17" i="9"/>
  <c r="F17" i="9"/>
  <c r="C16" i="9"/>
  <c r="I15" i="9"/>
  <c r="C15" i="9"/>
  <c r="L14" i="9"/>
  <c r="I14" i="9"/>
  <c r="F14" i="9"/>
  <c r="C14" i="9"/>
  <c r="H122" i="10" a="1"/>
  <c r="H100" i="10" a="1"/>
  <c r="H85" i="10" a="1"/>
  <c r="H134" i="10" a="1"/>
  <c r="H230" i="10" a="1"/>
  <c r="H312" i="10" a="1"/>
  <c r="H419" i="10" a="1"/>
  <c r="H431" i="10" a="1"/>
  <c r="H401" i="10" a="1"/>
  <c r="H92" i="10" a="1"/>
  <c r="H289" i="10" a="1"/>
  <c r="H137" i="10" a="1"/>
  <c r="H243" i="10" a="1"/>
  <c r="H317" i="10" a="1"/>
  <c r="H164" i="10" a="1"/>
  <c r="H267" i="10" a="1"/>
  <c r="H340" i="10" a="1"/>
  <c r="H443" i="10" a="1"/>
  <c r="H475" i="10" a="1"/>
  <c r="H425" i="10" a="1"/>
  <c r="H188" i="10" a="1"/>
  <c r="H432" i="10" a="1"/>
  <c r="H244" i="10" a="1"/>
  <c r="H216" i="10" a="1"/>
  <c r="H494" i="10" a="1"/>
  <c r="H624" i="10" a="1"/>
  <c r="H385" i="10" a="1"/>
  <c r="H157" i="10" a="1"/>
  <c r="H517" i="10" a="1"/>
  <c r="H37" i="10" a="1"/>
  <c r="H197" i="10" a="1"/>
  <c r="H235" i="10" a="1"/>
  <c r="H206" i="10" a="1"/>
  <c r="H94" i="10" a="1"/>
  <c r="H360" i="10" a="1"/>
  <c r="H76" i="10" a="1"/>
  <c r="H512" i="10" a="1"/>
  <c r="H610" i="10" a="1"/>
  <c r="H496" i="10" a="1"/>
  <c r="H329" i="10" a="1"/>
  <c r="H24" i="10" a="1"/>
  <c r="H629" i="10" a="1"/>
  <c r="H219" i="10" a="1"/>
  <c r="H74" i="10" a="1"/>
  <c r="H404" i="10" a="1"/>
  <c r="H583" i="10" a="1"/>
  <c r="H294" i="10" a="1"/>
  <c r="H78" i="10" a="1"/>
  <c r="H217" i="10" a="1"/>
  <c r="H145" i="10" a="1"/>
  <c r="H371" i="10" a="1"/>
  <c r="H302" i="10" a="1"/>
  <c r="H448" i="10" a="1"/>
  <c r="H504" i="10" a="1"/>
  <c r="H550" i="10" a="1"/>
  <c r="H176" i="10" a="1"/>
  <c r="H458" i="10" a="1"/>
  <c r="H459" i="10" a="1"/>
  <c r="H158" i="10" a="1"/>
  <c r="H262" i="10" a="1"/>
  <c r="H98" i="10" a="1"/>
  <c r="H439" i="10" a="1"/>
  <c r="H573" i="10" a="1"/>
  <c r="H408" i="10" a="1"/>
  <c r="H44" i="10" a="1"/>
  <c r="H275" i="10" a="1"/>
  <c r="H587" i="10" a="1"/>
  <c r="H569" i="10" a="1"/>
  <c r="H534" i="10" a="1"/>
  <c r="H238" i="10" a="1"/>
  <c r="H45" i="10" a="1"/>
  <c r="H256" i="10" a="1"/>
  <c r="H112" i="10" a="1"/>
  <c r="H138" i="10" a="1"/>
  <c r="H93" i="10" a="1"/>
  <c r="H382" i="10" a="1"/>
  <c r="H97" i="10" a="1"/>
  <c r="H236" i="10" a="1"/>
  <c r="H179" i="10" a="1"/>
  <c r="H70" i="10" a="1"/>
  <c r="H332" i="10" a="1"/>
  <c r="H508" i="10" a="1"/>
  <c r="H518" i="10" a="1"/>
  <c r="H591" i="10" a="1"/>
  <c r="H307" i="10" a="1"/>
  <c r="H493" i="10" a="1"/>
  <c r="H578" i="10" a="1"/>
  <c r="H485" i="10" a="1"/>
  <c r="H326" i="10" a="1"/>
  <c r="H232" i="10" a="1"/>
  <c r="H505" i="10" a="1"/>
  <c r="H633" i="10" a="1"/>
  <c r="H638" i="10" a="1"/>
  <c r="H299" i="10" a="1"/>
  <c r="H355" i="10" a="1"/>
  <c r="H622" i="10" a="1"/>
  <c r="H604" i="10" a="1"/>
  <c r="H63" i="10" a="1"/>
  <c r="H473" i="10" a="1"/>
  <c r="H102" i="10" a="1"/>
  <c r="H54" i="10" a="1"/>
  <c r="H136" i="10" a="1"/>
  <c r="H464" i="10" a="1"/>
  <c r="H163" i="10" a="1"/>
  <c r="H331" i="10" a="1"/>
  <c r="H174" i="10" a="1"/>
  <c r="H358" i="10" a="1"/>
  <c r="H143" i="10" a="1"/>
  <c r="H288" i="10" a="1"/>
  <c r="H471" i="10" a="1"/>
  <c r="H108" i="10" a="1"/>
  <c r="H637" i="10" a="1"/>
  <c r="H41" i="10" a="1"/>
  <c r="H541" i="10" a="1"/>
  <c r="H252" i="10" a="1"/>
  <c r="H556" i="10" a="1"/>
  <c r="H476" i="10" a="1"/>
  <c r="H422" i="10" a="1"/>
  <c r="H469" i="10" a="1"/>
  <c r="H570" i="10" a="1"/>
  <c r="H608" i="10" a="1"/>
  <c r="H366" i="10" a="1"/>
  <c r="H274" i="10" a="1"/>
  <c r="H118" i="10" a="1"/>
  <c r="H635" i="10" a="1"/>
  <c r="H367" i="10" a="1"/>
  <c r="H376" i="10" a="1"/>
  <c r="H52" i="10" a="1"/>
  <c r="H154" i="10" a="1"/>
  <c r="H225" i="10" a="1"/>
  <c r="H135" i="10" a="1"/>
  <c r="H249" i="10" a="1"/>
  <c r="H479" i="10" a="1"/>
  <c r="H77" i="10" a="1"/>
  <c r="H590" i="10" a="1"/>
  <c r="H581" i="10" a="1"/>
  <c r="H140" i="10" a="1"/>
  <c r="H254" i="10" a="1"/>
  <c r="H81" i="10" a="1"/>
  <c r="H161" i="10" a="1"/>
  <c r="H359" i="10" a="1"/>
  <c r="H594" i="10" a="1"/>
  <c r="H552" i="10" a="1"/>
  <c r="H618" i="10" a="1"/>
  <c r="H446" i="10" a="1"/>
  <c r="H555" i="10" a="1"/>
  <c r="H316" i="10" a="1"/>
  <c r="H391" i="10" a="1"/>
  <c r="H87" i="10" a="1"/>
  <c r="H171" i="10" a="1"/>
  <c r="H117" i="10" a="1"/>
  <c r="H363" i="10" a="1"/>
  <c r="H175" i="10" a="1"/>
  <c r="H212" i="10" a="1"/>
  <c r="H375" i="10" a="1"/>
  <c r="H491" i="10" a="1"/>
  <c r="H560" i="10" a="1"/>
  <c r="H82" i="10" a="1"/>
  <c r="H177" i="10" a="1"/>
  <c r="H349" i="10" a="1"/>
  <c r="H342" i="10" a="1"/>
  <c r="H625" i="10" a="1"/>
  <c r="H605" i="10" a="1"/>
  <c r="H214" i="10" a="1"/>
  <c r="H34" i="10" a="1"/>
  <c r="H241" i="10" a="1"/>
  <c r="H520" i="10" a="1"/>
  <c r="H409" i="10" a="1"/>
  <c r="H348" i="10" a="1"/>
  <c r="H636" i="10" a="1"/>
  <c r="H551" i="10" a="1"/>
  <c r="H613" i="10" a="1"/>
  <c r="H482" i="10" a="1"/>
  <c r="H123" i="10" a="1"/>
  <c r="H362" i="10" a="1"/>
  <c r="H405" i="10" a="1"/>
  <c r="H167" i="10" a="1"/>
  <c r="H513" i="10" a="1"/>
  <c r="H531" i="10" a="1"/>
  <c r="H261" i="10" a="1"/>
  <c r="H106" i="10" a="1"/>
  <c r="H22" i="10" a="1"/>
  <c r="H296" i="10" a="1"/>
  <c r="H380" i="10" a="1"/>
  <c r="H35" i="10" a="1"/>
  <c r="H368" i="10" a="1"/>
  <c r="H125" i="10" a="1"/>
  <c r="H361" i="10" a="1"/>
  <c r="H617" i="10" a="1"/>
  <c r="H599" i="10" a="1"/>
  <c r="H127" i="10" a="1"/>
  <c r="H277" i="10" a="1"/>
  <c r="H407" i="10" a="1"/>
  <c r="H242" i="10" a="1"/>
  <c r="H499" i="10" a="1"/>
  <c r="H481" i="10" a="1"/>
  <c r="H595" i="10" a="1"/>
  <c r="H322" i="10" a="1"/>
  <c r="H400" i="10" a="1"/>
  <c r="H308" i="10" a="1"/>
  <c r="H416" i="10" a="1"/>
  <c r="H32" i="10" a="1"/>
  <c r="H290" i="10" a="1"/>
  <c r="H259" i="10" a="1"/>
  <c r="H139" i="10" a="1"/>
  <c r="H56" i="10" a="1"/>
  <c r="H120" i="10" a="1"/>
  <c r="H49" i="10" a="1"/>
  <c r="H314" i="10" a="1"/>
  <c r="H390" i="10" a="1"/>
  <c r="H365" i="10" a="1"/>
  <c r="H453" i="10" a="1"/>
  <c r="H364" i="10" a="1"/>
  <c r="H632" i="10" a="1"/>
  <c r="H628" i="10" a="1"/>
  <c r="H392" i="10" a="1"/>
  <c r="H596" i="10" a="1"/>
  <c r="H445" i="10" a="1"/>
  <c r="H103" i="10" a="1"/>
  <c r="H62" i="10" a="1"/>
  <c r="H524" i="10" a="1"/>
  <c r="H639" i="10" a="1"/>
  <c r="H410" i="10" a="1"/>
  <c r="H13" i="10" a="1"/>
  <c r="H186" i="10" a="1"/>
  <c r="H185" i="10" a="1"/>
  <c r="H369" i="10" a="1"/>
  <c r="H523" i="10" a="1"/>
  <c r="H234" i="10" a="1"/>
  <c r="H187" i="10" a="1"/>
  <c r="H150" i="10" a="1"/>
  <c r="H119" i="10" a="1"/>
  <c r="H333" i="10" a="1"/>
  <c r="H271" i="10" a="1"/>
  <c r="H415" i="10" a="1"/>
  <c r="H472" i="10" a="1"/>
  <c r="H516" i="10" a="1"/>
  <c r="H51" i="10" a="1"/>
  <c r="H398" i="10" a="1"/>
  <c r="H284" i="10" a="1"/>
  <c r="H528" i="10" a="1"/>
  <c r="H339" i="10" a="1"/>
  <c r="H621" i="10" a="1"/>
  <c r="H351" i="10" a="1"/>
  <c r="H514" i="10" a="1"/>
  <c r="H616" i="10" a="1"/>
  <c r="H547" i="10" a="1"/>
  <c r="H182" i="10" a="1"/>
  <c r="H557" i="10" a="1"/>
  <c r="H538" i="10" a="1"/>
  <c r="H373" i="10" a="1"/>
  <c r="H612" i="10" a="1"/>
  <c r="H61" i="10" a="1"/>
  <c r="H202" i="10" a="1"/>
  <c r="H43" i="10" a="1"/>
  <c r="H115" i="10" a="1"/>
  <c r="H389" i="10" a="1"/>
  <c r="H546" i="10" a="1"/>
  <c r="H282" i="10" a="1"/>
  <c r="H263" i="10" a="1"/>
  <c r="H47" i="10" a="1"/>
  <c r="H126" i="10" a="1"/>
  <c r="H16" i="10" a="1"/>
  <c r="H17" i="10" a="1"/>
  <c r="H273" i="10" a="1"/>
  <c r="H503" i="10" a="1"/>
  <c r="H169" i="10" a="1"/>
  <c r="H615" i="10" a="1"/>
  <c r="H129" i="10" a="1"/>
  <c r="H571" i="10" a="1"/>
  <c r="H196" i="10" a="1"/>
  <c r="H468" i="10" a="1"/>
  <c r="H429" i="10" a="1"/>
  <c r="H379" i="10" a="1"/>
  <c r="H67" i="10" a="1"/>
  <c r="H40" i="10" a="1"/>
  <c r="H147" i="10" a="1"/>
  <c r="H33" i="10" a="1"/>
  <c r="H281" i="10" a="1"/>
  <c r="H449" i="10" a="1"/>
  <c r="H221" i="10" a="1"/>
  <c r="H623" i="10" a="1"/>
  <c r="H462" i="10" a="1"/>
  <c r="H75" i="10" a="1"/>
  <c r="H240" i="10" a="1"/>
  <c r="H265" i="10" a="1"/>
  <c r="H313" i="10" a="1"/>
  <c r="H14" i="10" a="1"/>
  <c r="H347" i="10" a="1"/>
  <c r="H104" i="10" a="1"/>
  <c r="H323" i="10" a="1"/>
  <c r="H601" i="10" a="1"/>
  <c r="H582" i="10" a="1"/>
  <c r="H193" i="10" a="1"/>
  <c r="H213" i="10" a="1"/>
  <c r="H564" i="10" a="1"/>
  <c r="H603" i="10" a="1"/>
  <c r="H442" i="10" a="1"/>
  <c r="H330" i="10" a="1"/>
  <c r="H239" i="10" a="1"/>
  <c r="H124" i="10" a="1"/>
  <c r="H345" i="10" a="1"/>
  <c r="H245" i="10" a="1"/>
  <c r="H600" i="10" a="1"/>
  <c r="H548" i="10" a="1"/>
  <c r="H71" i="10" a="1"/>
  <c r="H111" i="10" a="1"/>
  <c r="H403" i="10" a="1"/>
  <c r="H510" i="10" a="1"/>
  <c r="H114" i="10" a="1"/>
  <c r="H334" i="10" a="1"/>
  <c r="H141" i="10" a="1"/>
  <c r="H168" i="10" a="1"/>
  <c r="H153" i="10" a="1"/>
  <c r="H218" i="10" a="1"/>
  <c r="H246" i="10" a="1"/>
  <c r="H72" i="10" a="1"/>
  <c r="H19" i="10" a="1"/>
  <c r="H146" i="10" a="1"/>
  <c r="H436" i="10" a="1"/>
  <c r="H537" i="10" a="1"/>
  <c r="H592" i="10" a="1"/>
  <c r="H627" i="10" a="1"/>
  <c r="H337" i="10" a="1"/>
  <c r="H477" i="10" a="1"/>
  <c r="H565" i="10" a="1"/>
  <c r="H60" i="10" a="1"/>
  <c r="H116" i="10" a="1"/>
  <c r="H215" i="10" a="1"/>
  <c r="H417" i="10" a="1"/>
  <c r="H497" i="10" a="1"/>
  <c r="H287" i="10" a="1"/>
  <c r="H99" i="10" a="1"/>
  <c r="H121" i="10" a="1"/>
  <c r="H554" i="10" a="1"/>
  <c r="H455" i="10" a="1"/>
  <c r="H144" i="10" a="1"/>
  <c r="H542" i="10" a="1"/>
  <c r="H357" i="10" a="1"/>
  <c r="H577" i="10" a="1"/>
  <c r="H579" i="10" a="1"/>
  <c r="H268" i="10" a="1"/>
  <c r="H437" i="10" a="1"/>
  <c r="H598" i="10" a="1"/>
  <c r="H25" i="10" a="1"/>
  <c r="H387" i="10" a="1"/>
  <c r="H172" i="10" a="1"/>
  <c r="H515" i="10" a="1"/>
  <c r="H42" i="10" a="1"/>
  <c r="H320" i="10" a="1"/>
  <c r="H79" i="10" a="1"/>
  <c r="H286" i="10" a="1"/>
  <c r="H250" i="10" a="1"/>
  <c r="H536" i="10" a="1"/>
  <c r="H165" i="10" a="1"/>
  <c r="H285" i="10" a="1"/>
  <c r="H201" i="10" a="1"/>
  <c r="H220" i="10" a="1"/>
  <c r="H411" i="10" a="1"/>
  <c r="H567" i="10" a="1"/>
  <c r="H566" i="10" a="1"/>
  <c r="H229" i="10" a="1"/>
  <c r="H414" i="10" a="1"/>
  <c r="H585" i="10" a="1"/>
  <c r="H484" i="10" a="1"/>
  <c r="H180" i="10" a="1"/>
  <c r="H192" i="10" a="1"/>
  <c r="H354" i="10" a="1"/>
  <c r="H113" i="10" a="1"/>
  <c r="H586" i="10" a="1"/>
  <c r="H109" i="10" a="1"/>
  <c r="H224" i="10" a="1"/>
  <c r="H278" i="10" a="1"/>
  <c r="H456" i="10" a="1"/>
  <c r="H152" i="10" a="1"/>
  <c r="H30" i="10" a="1"/>
  <c r="H300" i="10" a="1"/>
  <c r="H181" i="10" a="1"/>
  <c r="H272" i="10" a="1"/>
  <c r="H46" i="10" a="1"/>
  <c r="H325" i="10" a="1"/>
  <c r="H184" i="10" a="1"/>
  <c r="H86" i="10" a="1"/>
  <c r="H318" i="10" a="1"/>
  <c r="H525" i="10" a="1"/>
  <c r="H199" i="10" a="1"/>
  <c r="H80" i="10" a="1"/>
  <c r="H231" i="10" a="1"/>
  <c r="H488" i="10" a="1"/>
  <c r="H309" i="10" a="1"/>
  <c r="H506" i="10" a="1"/>
  <c r="H131" i="10" a="1"/>
  <c r="H156" i="10" a="1"/>
  <c r="H88" i="10" a="1"/>
  <c r="H255" i="10" a="1"/>
  <c r="H433" i="10" a="1"/>
  <c r="H96" i="10" a="1"/>
  <c r="H155" i="10" a="1"/>
  <c r="H607" i="10" a="1"/>
  <c r="H26" i="10" a="1"/>
  <c r="H427" i="10" a="1"/>
  <c r="H356" i="10" a="1"/>
  <c r="H423" i="10" a="1"/>
  <c r="H260" i="10" a="1"/>
  <c r="H619" i="10" a="1"/>
  <c r="H526" i="10" a="1"/>
  <c r="H223" i="10" a="1"/>
  <c r="H21" i="10" a="1"/>
  <c r="H383" i="10" a="1"/>
  <c r="H208" i="10" a="1"/>
  <c r="H57" i="10" a="1"/>
  <c r="H535" i="10" a="1"/>
  <c r="H492" i="10" a="1"/>
  <c r="H630" i="10" a="1"/>
  <c r="H549" i="10" a="1"/>
  <c r="H500" i="10" a="1"/>
  <c r="H89" i="10" a="1"/>
  <c r="H597" i="10" a="1"/>
  <c r="H130" i="10" a="1"/>
  <c r="H562" i="10" a="1"/>
  <c r="H159" i="10" a="1"/>
  <c r="H198" i="10" a="1"/>
  <c r="H539" i="10" a="1"/>
  <c r="H384" i="10" a="1"/>
  <c r="H205" i="10" a="1"/>
  <c r="H292" i="10" a="1"/>
  <c r="H258" i="10" a="1"/>
  <c r="H393" i="10" a="1"/>
  <c r="H529" i="10" a="1"/>
  <c r="H132" i="10" a="1"/>
  <c r="H233" i="10" a="1"/>
  <c r="H574" i="10" a="1"/>
  <c r="H311" i="10" a="1"/>
  <c r="H222" i="10" a="1"/>
  <c r="H584" i="10" a="1"/>
  <c r="H279" i="10" a="1"/>
  <c r="H602" i="10" a="1"/>
  <c r="H148" i="10" a="1"/>
  <c r="H614" i="10" a="1"/>
  <c r="H489" i="10" a="1"/>
  <c r="H470" i="10" a="1"/>
  <c r="H430" i="10" a="1"/>
  <c r="H511" i="10" a="1"/>
  <c r="H18" i="10" a="1"/>
  <c r="H336" i="10" a="1"/>
  <c r="H609" i="10" a="1"/>
  <c r="H434" i="10" a="1"/>
  <c r="H328" i="10" a="1"/>
  <c r="H178" i="10" a="1"/>
  <c r="H568" i="10" a="1"/>
  <c r="H310" i="10" a="1"/>
  <c r="H486" i="10" a="1"/>
  <c r="H293" i="10" a="1"/>
  <c r="H343" i="10" a="1"/>
  <c r="H160" i="10" a="1"/>
  <c r="H190" i="10" a="1"/>
  <c r="H576" i="10" a="1"/>
  <c r="H204" i="10" a="1"/>
  <c r="H189" i="10" a="1"/>
  <c r="H346" i="10" a="1"/>
  <c r="H73" i="10" a="1"/>
  <c r="H95" i="10" a="1"/>
  <c r="H626" i="10" a="1"/>
  <c r="H90" i="10" a="1"/>
  <c r="H589" i="10" a="1"/>
  <c r="H406" i="10" a="1"/>
  <c r="H454" i="10" a="1"/>
  <c r="H276" i="10" a="1"/>
  <c r="H183" i="10" a="1"/>
  <c r="H69" i="10" a="1"/>
  <c r="H527" i="10" a="1"/>
  <c r="H84" i="10" a="1"/>
  <c r="H295" i="10" a="1"/>
  <c r="H297" i="10" a="1"/>
  <c r="H509" i="10" a="1"/>
  <c r="H466" i="10" a="1"/>
  <c r="H563" i="10" a="1"/>
  <c r="H228" i="10" a="1"/>
  <c r="H490" i="10" a="1"/>
  <c r="H420" i="10" a="1"/>
  <c r="H151" i="10" a="1"/>
  <c r="H544" i="10" a="1"/>
  <c r="H386" i="10" a="1"/>
  <c r="H381" i="10" a="1"/>
  <c r="H533" i="10" a="1"/>
  <c r="H338" i="10" a="1"/>
  <c r="H65" i="10" a="1"/>
  <c r="H580" i="10" a="1"/>
  <c r="H450" i="10" a="1"/>
  <c r="H370" i="10" a="1"/>
  <c r="H421" i="10" a="1"/>
  <c r="H209" i="10" a="1"/>
  <c r="H465" i="10" a="1"/>
  <c r="H521" i="10" a="1"/>
  <c r="H374" i="10" a="1"/>
  <c r="H304" i="10" a="1"/>
  <c r="H237" i="10" a="1"/>
  <c r="H38" i="10" a="1"/>
  <c r="H324" i="10" a="1"/>
  <c r="H413" i="10" a="1"/>
  <c r="H501" i="10" a="1"/>
  <c r="H388" i="10" a="1"/>
  <c r="H543" i="10" a="1"/>
  <c r="H128" i="10" a="1"/>
  <c r="H291" i="10" a="1"/>
  <c r="H195" i="10" a="1"/>
  <c r="H553" i="10" a="1"/>
  <c r="H575" i="10" a="1"/>
  <c r="H105" i="10" a="1"/>
  <c r="H20" i="10" a="1"/>
  <c r="H58" i="10" a="1"/>
  <c r="H327" i="10" a="1"/>
  <c r="H451" i="10" a="1"/>
  <c r="H91" i="10" a="1"/>
  <c r="H353" i="10" a="1"/>
  <c r="H66" i="10" a="1"/>
  <c r="H480" i="10" a="1"/>
  <c r="H107" i="10" a="1"/>
  <c r="H620" i="10" a="1"/>
  <c r="H396" i="10" a="1"/>
  <c r="H444" i="10" a="1"/>
  <c r="H211" i="10" a="1"/>
  <c r="H39" i="10" a="1"/>
  <c r="H418" i="10" a="1"/>
  <c r="H321" i="10" a="1"/>
  <c r="H559" i="10" a="1"/>
  <c r="H142" i="10" a="1"/>
  <c r="H467" i="10" a="1"/>
  <c r="H372" i="10" a="1"/>
  <c r="H424" i="10" a="1"/>
  <c r="H519" i="10" a="1"/>
  <c r="H399" i="10" a="1"/>
  <c r="H303" i="10" a="1"/>
  <c r="H194" i="10" a="1"/>
  <c r="H487" i="10" a="1"/>
  <c r="H606" i="10" a="1"/>
  <c r="H452" i="10" a="1"/>
  <c r="H226" i="10" a="1"/>
  <c r="H461" i="10" a="1"/>
  <c r="H335" i="10" a="1"/>
  <c r="H435" i="10" a="1"/>
  <c r="H558" i="10" a="1"/>
  <c r="H173" i="10" a="1"/>
  <c r="H55" i="10" a="1"/>
  <c r="H59" i="10" a="1"/>
  <c r="H640" i="10" a="1"/>
  <c r="H440" i="10" a="1"/>
  <c r="H631" i="10" a="1"/>
  <c r="H28" i="10" a="1"/>
  <c r="H502" i="10" a="1"/>
  <c r="H248" i="10" a="1"/>
  <c r="H530" i="10" a="1"/>
  <c r="H378" i="10" a="1"/>
  <c r="H441" i="10" a="1"/>
  <c r="H498" i="10" a="1"/>
  <c r="H402" i="10" a="1"/>
  <c r="H522" i="10" a="1"/>
  <c r="H507" i="10" a="1"/>
  <c r="H31" i="10" a="1"/>
  <c r="H319" i="10" a="1"/>
  <c r="H253" i="10" a="1"/>
  <c r="H101" i="10" a="1"/>
  <c r="H352" i="10" a="1"/>
  <c r="H483" i="10" a="1"/>
  <c r="H532" i="10" a="1"/>
  <c r="H306" i="10" a="1"/>
  <c r="H315" i="10" a="1"/>
  <c r="H170" i="10" a="1"/>
  <c r="H48" i="10" a="1"/>
  <c r="H266" i="10" a="1"/>
  <c r="H350" i="10" a="1"/>
  <c r="H298" i="10" a="1"/>
  <c r="H438" i="10" a="1"/>
  <c r="H395" i="10" a="1"/>
  <c r="H257" i="10" a="1"/>
  <c r="H426" i="10" a="1"/>
  <c r="H207" i="10" a="1"/>
  <c r="H572" i="10" a="1"/>
  <c r="H162" i="10" a="1"/>
  <c r="H270" i="10" a="1"/>
  <c r="H247" i="10" a="1"/>
  <c r="H251" i="10" a="1"/>
  <c r="H478" i="10" a="1"/>
  <c r="H377" i="10" a="1"/>
  <c r="H593" i="10" a="1"/>
  <c r="H15" i="10" a="1"/>
  <c r="H394" i="10" a="1"/>
  <c r="H269" i="10" a="1"/>
  <c r="H634" i="10" a="1"/>
  <c r="H83" i="10" a="1"/>
  <c r="H588" i="10" a="1"/>
  <c r="H463" i="10" a="1"/>
  <c r="H36" i="10" a="1"/>
  <c r="H227" i="10" a="1"/>
  <c r="H50" i="10" a="1"/>
  <c r="H64" i="10" a="1"/>
  <c r="H341" i="10" a="1"/>
  <c r="H68" i="10" a="1"/>
  <c r="H301" i="10" a="1"/>
  <c r="H133" i="10" a="1"/>
  <c r="H203" i="10" a="1"/>
  <c r="H611" i="10" a="1"/>
  <c r="H27" i="10" a="1"/>
  <c r="H29" i="10" a="1"/>
  <c r="H457" i="10" a="1"/>
  <c r="H561" i="10" a="1"/>
  <c r="H283" i="10" a="1"/>
  <c r="H191" i="10" a="1"/>
  <c r="H110" i="10" a="1"/>
  <c r="H166" i="10" a="1"/>
  <c r="H447" i="10" a="1"/>
  <c r="H305" i="10" a="1"/>
  <c r="H210" i="10" a="1"/>
  <c r="H53" i="10" a="1"/>
  <c r="H428" i="10" a="1"/>
  <c r="H280" i="10" a="1"/>
  <c r="H495" i="10" a="1"/>
  <c r="H474" i="10" a="1"/>
  <c r="H460" i="10" a="1"/>
  <c r="H264" i="10" a="1"/>
  <c r="H540" i="10" a="1"/>
  <c r="H545" i="10" a="1"/>
  <c r="H200" i="10" a="1"/>
  <c r="H344" i="10" a="1"/>
  <c r="H23" i="10" a="1"/>
  <c r="H397" i="10" a="1"/>
  <c r="H149" i="10" a="1"/>
  <c r="H412" i="10" a="1"/>
  <c r="H21" i="10" l="1"/>
  <c r="I22" i="10" s="1"/>
  <c r="H18" i="10"/>
  <c r="I19" i="10" s="1"/>
  <c r="H13" i="10"/>
  <c r="I14" i="10" s="1"/>
  <c r="H32" i="10"/>
  <c r="I33" i="10" s="1"/>
  <c r="H27" i="10"/>
  <c r="I28" i="10" s="1"/>
  <c r="H240" i="10"/>
  <c r="H206" i="10"/>
  <c r="H171" i="10"/>
  <c r="H629" i="10"/>
  <c r="I630" i="10" s="1"/>
  <c r="H638" i="10"/>
  <c r="I639" i="10" s="1"/>
  <c r="H608" i="10"/>
  <c r="H589" i="10"/>
  <c r="H559" i="10"/>
  <c r="I560" i="10" s="1"/>
  <c r="H529" i="10"/>
  <c r="H500" i="10"/>
  <c r="I501" i="10" s="1"/>
  <c r="H468" i="10"/>
  <c r="I469" i="10" s="1"/>
  <c r="H440" i="10"/>
  <c r="I441" i="10" s="1"/>
  <c r="H408" i="10"/>
  <c r="I409" i="10" s="1"/>
  <c r="H362" i="10"/>
  <c r="I363" i="10" s="1"/>
  <c r="H305" i="10"/>
  <c r="H242" i="10"/>
  <c r="I243" i="10" s="1"/>
  <c r="H616" i="10"/>
  <c r="H586" i="10"/>
  <c r="I587" i="10" s="1"/>
  <c r="H556" i="10"/>
  <c r="I557" i="10" s="1"/>
  <c r="H526" i="10"/>
  <c r="I527" i="10" s="1"/>
  <c r="H497" i="10"/>
  <c r="I498" i="10" s="1"/>
  <c r="H437" i="10"/>
  <c r="I438" i="10" s="1"/>
  <c r="H407" i="10"/>
  <c r="H377" i="10"/>
  <c r="I378" i="10" s="1"/>
  <c r="H258" i="10"/>
  <c r="I259" i="10" s="1"/>
  <c r="H633" i="10"/>
  <c r="H624" i="10"/>
  <c r="H603" i="10"/>
  <c r="I604" i="10" s="1"/>
  <c r="H592" i="10"/>
  <c r="I593" i="10" s="1"/>
  <c r="H573" i="10"/>
  <c r="I574" i="10" s="1"/>
  <c r="H564" i="10"/>
  <c r="H543" i="10"/>
  <c r="H534" i="10"/>
  <c r="I535" i="10" s="1"/>
  <c r="H514" i="10"/>
  <c r="H484" i="10"/>
  <c r="I485" i="10" s="1"/>
  <c r="H473" i="10"/>
  <c r="H454" i="10"/>
  <c r="I455" i="10" s="1"/>
  <c r="H445" i="10"/>
  <c r="H424" i="10"/>
  <c r="I425" i="10" s="1"/>
  <c r="H413" i="10"/>
  <c r="H373" i="10"/>
  <c r="I374" i="10" s="1"/>
  <c r="H335" i="10"/>
  <c r="I336" i="10" s="1"/>
  <c r="H316" i="10"/>
  <c r="H274" i="10"/>
  <c r="I275" i="10" s="1"/>
  <c r="H253" i="10"/>
  <c r="I254" i="10" s="1"/>
  <c r="H619" i="10"/>
  <c r="I620" i="10" s="1"/>
  <c r="H578" i="10"/>
  <c r="I579" i="10" s="1"/>
  <c r="H548" i="10"/>
  <c r="H519" i="10"/>
  <c r="I520" i="10" s="1"/>
  <c r="H489" i="10"/>
  <c r="I490" i="10" s="1"/>
  <c r="H459" i="10"/>
  <c r="H429" i="10"/>
  <c r="I430" i="10" s="1"/>
  <c r="H399" i="10"/>
  <c r="H344" i="10"/>
  <c r="H284" i="10"/>
  <c r="I285" i="10" s="1"/>
  <c r="H627" i="10"/>
  <c r="H595" i="10"/>
  <c r="I596" i="10" s="1"/>
  <c r="H537" i="10"/>
  <c r="H506" i="10"/>
  <c r="I507" i="10" s="1"/>
  <c r="H476" i="10"/>
  <c r="I477" i="10" s="1"/>
  <c r="H416" i="10"/>
  <c r="I417" i="10" s="1"/>
  <c r="H396" i="10"/>
  <c r="H357" i="10"/>
  <c r="I358" i="10" s="1"/>
  <c r="H300" i="10"/>
  <c r="I301" i="10" s="1"/>
  <c r="H239" i="10"/>
  <c r="H640" i="10"/>
  <c r="H630" i="10"/>
  <c r="I631" i="10" s="1"/>
  <c r="H611" i="10"/>
  <c r="I612" i="10" s="1"/>
  <c r="H600" i="10"/>
  <c r="H581" i="10"/>
  <c r="H570" i="10"/>
  <c r="I571" i="10" s="1"/>
  <c r="H551" i="10"/>
  <c r="I552" i="10" s="1"/>
  <c r="H540" i="10"/>
  <c r="I541" i="10" s="1"/>
  <c r="H521" i="10"/>
  <c r="I522" i="10" s="1"/>
  <c r="H511" i="10"/>
  <c r="I512" i="10" s="1"/>
  <c r="H492" i="10"/>
  <c r="I493" i="10" s="1"/>
  <c r="H481" i="10"/>
  <c r="I482" i="10" s="1"/>
  <c r="H462" i="10"/>
  <c r="H451" i="10"/>
  <c r="H432" i="10"/>
  <c r="I433" i="10" s="1"/>
  <c r="H421" i="10"/>
  <c r="I422" i="10" s="1"/>
  <c r="H402" i="10"/>
  <c r="H388" i="10"/>
  <c r="H348" i="10"/>
  <c r="H330" i="10"/>
  <c r="I331" i="10" s="1"/>
  <c r="H289" i="10"/>
  <c r="I290" i="10" s="1"/>
  <c r="H269" i="10"/>
  <c r="H229" i="10"/>
  <c r="I230" i="10" s="1"/>
  <c r="H224" i="10"/>
  <c r="I225" i="10" s="1"/>
  <c r="H208" i="10"/>
  <c r="I209" i="10" s="1"/>
  <c r="H172" i="10"/>
  <c r="I173" i="10" s="1"/>
  <c r="H144" i="10"/>
  <c r="H113" i="10"/>
  <c r="H82" i="10"/>
  <c r="I83" i="10" s="1"/>
  <c r="H632" i="10"/>
  <c r="H618" i="10"/>
  <c r="I619" i="10" s="1"/>
  <c r="H613" i="10"/>
  <c r="I614" i="10" s="1"/>
  <c r="H605" i="10"/>
  <c r="I606" i="10" s="1"/>
  <c r="H597" i="10"/>
  <c r="I598" i="10" s="1"/>
  <c r="H591" i="10"/>
  <c r="H580" i="10"/>
  <c r="I581" i="10" s="1"/>
  <c r="H575" i="10"/>
  <c r="I576" i="10" s="1"/>
  <c r="H561" i="10"/>
  <c r="I562" i="10" s="1"/>
  <c r="H550" i="10"/>
  <c r="I551" i="10" s="1"/>
  <c r="H545" i="10"/>
  <c r="I546" i="10" s="1"/>
  <c r="H536" i="10"/>
  <c r="H531" i="10"/>
  <c r="I532" i="10" s="1"/>
  <c r="H516" i="10"/>
  <c r="I517" i="10" s="1"/>
  <c r="H505" i="10"/>
  <c r="I506" i="10" s="1"/>
  <c r="H502" i="10"/>
  <c r="H494" i="10"/>
  <c r="H483" i="10"/>
  <c r="I484" i="10" s="1"/>
  <c r="H478" i="10"/>
  <c r="I479" i="10" s="1"/>
  <c r="H467" i="10"/>
  <c r="I468" i="10" s="1"/>
  <c r="H461" i="10"/>
  <c r="I462" i="10" s="1"/>
  <c r="H453" i="10"/>
  <c r="I454" i="10" s="1"/>
  <c r="H439" i="10"/>
  <c r="I440" i="10" s="1"/>
  <c r="H434" i="10"/>
  <c r="H423" i="10"/>
  <c r="I424" i="10" s="1"/>
  <c r="H418" i="10"/>
  <c r="I419" i="10" s="1"/>
  <c r="H391" i="10"/>
  <c r="I392" i="10" s="1"/>
  <c r="H382" i="10"/>
  <c r="H367" i="10"/>
  <c r="I368" i="10" s="1"/>
  <c r="H356" i="10"/>
  <c r="I357" i="10" s="1"/>
  <c r="H351" i="10"/>
  <c r="I352" i="10" s="1"/>
  <c r="H329" i="10"/>
  <c r="H324" i="10"/>
  <c r="H310" i="10"/>
  <c r="I311" i="10" s="1"/>
  <c r="H299" i="10"/>
  <c r="I300" i="10" s="1"/>
  <c r="H294" i="10"/>
  <c r="I295" i="10" s="1"/>
  <c r="H283" i="10"/>
  <c r="I284" i="10" s="1"/>
  <c r="H279" i="10"/>
  <c r="I280" i="10" s="1"/>
  <c r="H268" i="10"/>
  <c r="H263" i="10"/>
  <c r="I264" i="10" s="1"/>
  <c r="H252" i="10"/>
  <c r="I253" i="10" s="1"/>
  <c r="H247" i="10"/>
  <c r="I248" i="10" s="1"/>
  <c r="H238" i="10"/>
  <c r="H234" i="10"/>
  <c r="H223" i="10"/>
  <c r="I224" i="10" s="1"/>
  <c r="H218" i="10"/>
  <c r="I219" i="10" s="1"/>
  <c r="H207" i="10"/>
  <c r="I208" i="10" s="1"/>
  <c r="H204" i="10"/>
  <c r="H196" i="10"/>
  <c r="H188" i="10"/>
  <c r="I189" i="10" s="1"/>
  <c r="H180" i="10"/>
  <c r="I181" i="10" s="1"/>
  <c r="H163" i="10"/>
  <c r="I164" i="10" s="1"/>
  <c r="H152" i="10"/>
  <c r="I153" i="10" s="1"/>
  <c r="H133" i="10"/>
  <c r="I134" i="10" s="1"/>
  <c r="H123" i="10"/>
  <c r="H92" i="10"/>
  <c r="I93" i="10" s="1"/>
  <c r="H72" i="10"/>
  <c r="H59" i="10"/>
  <c r="H44" i="10"/>
  <c r="I45" i="10" s="1"/>
  <c r="H29" i="10"/>
  <c r="I30" i="10" s="1"/>
  <c r="H639" i="10"/>
  <c r="I640" i="10" s="1"/>
  <c r="H637" i="10"/>
  <c r="H634" i="10"/>
  <c r="I635" i="10" s="1"/>
  <c r="H623" i="10"/>
  <c r="I624" i="10" s="1"/>
  <c r="H620" i="10"/>
  <c r="I621" i="10" s="1"/>
  <c r="H615" i="10"/>
  <c r="I616" i="10" s="1"/>
  <c r="H612" i="10"/>
  <c r="I613" i="10" s="1"/>
  <c r="H607" i="10"/>
  <c r="I608" i="10" s="1"/>
  <c r="H604" i="10"/>
  <c r="I605" i="10" s="1"/>
  <c r="H599" i="10"/>
  <c r="I600" i="10" s="1"/>
  <c r="H596" i="10"/>
  <c r="I597" i="10" s="1"/>
  <c r="H590" i="10"/>
  <c r="H585" i="10"/>
  <c r="I586" i="10" s="1"/>
  <c r="H582" i="10"/>
  <c r="H577" i="10"/>
  <c r="H574" i="10"/>
  <c r="I575" i="10" s="1"/>
  <c r="H569" i="10"/>
  <c r="I570" i="10" s="1"/>
  <c r="H566" i="10"/>
  <c r="I567" i="10" s="1"/>
  <c r="H563" i="10"/>
  <c r="H560" i="10"/>
  <c r="I561" i="10" s="1"/>
  <c r="H555" i="10"/>
  <c r="I556" i="10" s="1"/>
  <c r="H552" i="10"/>
  <c r="I553" i="10" s="1"/>
  <c r="H547" i="10"/>
  <c r="I548" i="10" s="1"/>
  <c r="H544" i="10"/>
  <c r="H538" i="10"/>
  <c r="H533" i="10"/>
  <c r="I534" i="10" s="1"/>
  <c r="H530" i="10"/>
  <c r="I531" i="10" s="1"/>
  <c r="H525" i="10"/>
  <c r="H522" i="10"/>
  <c r="I523" i="10" s="1"/>
  <c r="H518" i="10"/>
  <c r="I519" i="10" s="1"/>
  <c r="H515" i="10"/>
  <c r="H510" i="10"/>
  <c r="I511" i="10" s="1"/>
  <c r="H507" i="10"/>
  <c r="I508" i="10" s="1"/>
  <c r="H504" i="10"/>
  <c r="H501" i="10"/>
  <c r="H496" i="10"/>
  <c r="I497" i="10" s="1"/>
  <c r="H493" i="10"/>
  <c r="I494" i="10" s="1"/>
  <c r="H488" i="10"/>
  <c r="I489" i="10" s="1"/>
  <c r="H485" i="10"/>
  <c r="I486" i="10" s="1"/>
  <c r="H480" i="10"/>
  <c r="H477" i="10"/>
  <c r="I478" i="10" s="1"/>
  <c r="H472" i="10"/>
  <c r="H469" i="10"/>
  <c r="I470" i="10" s="1"/>
  <c r="H463" i="10"/>
  <c r="H458" i="10"/>
  <c r="I459" i="10" s="1"/>
  <c r="H455" i="10"/>
  <c r="H450" i="10"/>
  <c r="I451" i="10" s="1"/>
  <c r="H447" i="10"/>
  <c r="I448" i="10" s="1"/>
  <c r="H444" i="10"/>
  <c r="H441" i="10"/>
  <c r="I442" i="10" s="1"/>
  <c r="H436" i="10"/>
  <c r="I437" i="10" s="1"/>
  <c r="H433" i="10"/>
  <c r="H428" i="10"/>
  <c r="I429" i="10" s="1"/>
  <c r="H425" i="10"/>
  <c r="I426" i="10" s="1"/>
  <c r="H420" i="10"/>
  <c r="H417" i="10"/>
  <c r="I418" i="10" s="1"/>
  <c r="H412" i="10"/>
  <c r="H409" i="10"/>
  <c r="I410" i="10" s="1"/>
  <c r="H406" i="10"/>
  <c r="H401" i="10"/>
  <c r="H398" i="10"/>
  <c r="H394" i="10"/>
  <c r="I395" i="10" s="1"/>
  <c r="H385" i="10"/>
  <c r="I386" i="10" s="1"/>
  <c r="H380" i="10"/>
  <c r="I381" i="10" s="1"/>
  <c r="H370" i="10"/>
  <c r="H365" i="10"/>
  <c r="I366" i="10" s="1"/>
  <c r="H354" i="10"/>
  <c r="I355" i="10" s="1"/>
  <c r="H341" i="10"/>
  <c r="I342" i="10" s="1"/>
  <c r="H338" i="10"/>
  <c r="H327" i="10"/>
  <c r="I328" i="10" s="1"/>
  <c r="H322" i="10"/>
  <c r="I323" i="10" s="1"/>
  <c r="H313" i="10"/>
  <c r="I314" i="10" s="1"/>
  <c r="H308" i="10"/>
  <c r="I309" i="10" s="1"/>
  <c r="H297" i="10"/>
  <c r="H292" i="10"/>
  <c r="I293" i="10" s="1"/>
  <c r="H282" i="10"/>
  <c r="H277" i="10"/>
  <c r="I278" i="10" s="1"/>
  <c r="H266" i="10"/>
  <c r="I267" i="10" s="1"/>
  <c r="H261" i="10"/>
  <c r="H250" i="10"/>
  <c r="I251" i="10" s="1"/>
  <c r="H245" i="10"/>
  <c r="I246" i="10" s="1"/>
  <c r="H237" i="10"/>
  <c r="H232" i="10"/>
  <c r="I233" i="10" s="1"/>
  <c r="H221" i="10"/>
  <c r="H216" i="10"/>
  <c r="I217" i="10" s="1"/>
  <c r="H169" i="10"/>
  <c r="H158" i="10"/>
  <c r="H139" i="10"/>
  <c r="H128" i="10"/>
  <c r="I129" i="10" s="1"/>
  <c r="H108" i="10"/>
  <c r="I109" i="10" s="1"/>
  <c r="H98" i="10"/>
  <c r="I99" i="10" s="1"/>
  <c r="H77" i="10"/>
  <c r="I78" i="10" s="1"/>
  <c r="H213" i="10"/>
  <c r="H153" i="10"/>
  <c r="H124" i="10"/>
  <c r="H93" i="10"/>
  <c r="I94" i="10" s="1"/>
  <c r="H635" i="10"/>
  <c r="I636" i="10" s="1"/>
  <c r="H626" i="10"/>
  <c r="H621" i="10"/>
  <c r="I622" i="10" s="1"/>
  <c r="H610" i="10"/>
  <c r="I611" i="10" s="1"/>
  <c r="H602" i="10"/>
  <c r="I603" i="10" s="1"/>
  <c r="H594" i="10"/>
  <c r="I595" i="10" s="1"/>
  <c r="H588" i="10"/>
  <c r="H583" i="10"/>
  <c r="I584" i="10" s="1"/>
  <c r="H572" i="10"/>
  <c r="H567" i="10"/>
  <c r="I568" i="10" s="1"/>
  <c r="H558" i="10"/>
  <c r="H553" i="10"/>
  <c r="H542" i="10"/>
  <c r="I543" i="10" s="1"/>
  <c r="H539" i="10"/>
  <c r="H528" i="10"/>
  <c r="H523" i="10"/>
  <c r="I524" i="10" s="1"/>
  <c r="H513" i="10"/>
  <c r="I514" i="10" s="1"/>
  <c r="H508" i="10"/>
  <c r="H499" i="10"/>
  <c r="I500" i="10" s="1"/>
  <c r="H491" i="10"/>
  <c r="I492" i="10" s="1"/>
  <c r="H486" i="10"/>
  <c r="H475" i="10"/>
  <c r="I476" i="10" s="1"/>
  <c r="H470" i="10"/>
  <c r="I471" i="10" s="1"/>
  <c r="H464" i="10"/>
  <c r="H456" i="10"/>
  <c r="H448" i="10"/>
  <c r="I449" i="10" s="1"/>
  <c r="H442" i="10"/>
  <c r="I443" i="10" s="1"/>
  <c r="H431" i="10"/>
  <c r="I432" i="10" s="1"/>
  <c r="H426" i="10"/>
  <c r="H415" i="10"/>
  <c r="I416" i="10" s="1"/>
  <c r="H410" i="10"/>
  <c r="I411" i="10" s="1"/>
  <c r="H395" i="10"/>
  <c r="H387" i="10"/>
  <c r="I388" i="10" s="1"/>
  <c r="H372" i="10"/>
  <c r="I373" i="10" s="1"/>
  <c r="H343" i="10"/>
  <c r="I344" i="10" s="1"/>
  <c r="H315" i="10"/>
  <c r="I316" i="10" s="1"/>
  <c r="H636" i="10"/>
  <c r="H631" i="10"/>
  <c r="I632" i="10" s="1"/>
  <c r="H628" i="10"/>
  <c r="I629" i="10" s="1"/>
  <c r="H625" i="10"/>
  <c r="H622" i="10"/>
  <c r="I623" i="10" s="1"/>
  <c r="H617" i="10"/>
  <c r="H614" i="10"/>
  <c r="I615" i="10" s="1"/>
  <c r="H609" i="10"/>
  <c r="H606" i="10"/>
  <c r="I607" i="10" s="1"/>
  <c r="H601" i="10"/>
  <c r="H598" i="10"/>
  <c r="I599" i="10" s="1"/>
  <c r="H593" i="10"/>
  <c r="I594" i="10" s="1"/>
  <c r="H587" i="10"/>
  <c r="I588" i="10" s="1"/>
  <c r="H584" i="10"/>
  <c r="I585" i="10" s="1"/>
  <c r="H579" i="10"/>
  <c r="I580" i="10" s="1"/>
  <c r="H576" i="10"/>
  <c r="H571" i="10"/>
  <c r="H568" i="10"/>
  <c r="I569" i="10" s="1"/>
  <c r="H565" i="10"/>
  <c r="H562" i="10"/>
  <c r="H557" i="10"/>
  <c r="H554" i="10"/>
  <c r="H549" i="10"/>
  <c r="H546" i="10"/>
  <c r="I547" i="10" s="1"/>
  <c r="H541" i="10"/>
  <c r="I542" i="10" s="1"/>
  <c r="H535" i="10"/>
  <c r="I536" i="10" s="1"/>
  <c r="H532" i="10"/>
  <c r="I533" i="10" s="1"/>
  <c r="H527" i="10"/>
  <c r="I528" i="10" s="1"/>
  <c r="H524" i="10"/>
  <c r="H520" i="10"/>
  <c r="H517" i="10"/>
  <c r="I518" i="10" s="1"/>
  <c r="H512" i="10"/>
  <c r="I513" i="10" s="1"/>
  <c r="H509" i="10"/>
  <c r="H503" i="10"/>
  <c r="H498" i="10"/>
  <c r="I499" i="10" s="1"/>
  <c r="H495" i="10"/>
  <c r="H490" i="10"/>
  <c r="I491" i="10" s="1"/>
  <c r="H487" i="10"/>
  <c r="H482" i="10"/>
  <c r="I483" i="10" s="1"/>
  <c r="H479" i="10"/>
  <c r="H474" i="10"/>
  <c r="I475" i="10" s="1"/>
  <c r="H471" i="10"/>
  <c r="I472" i="10" s="1"/>
  <c r="H466" i="10"/>
  <c r="I467" i="10" s="1"/>
  <c r="H465" i="10"/>
  <c r="H460" i="10"/>
  <c r="H457" i="10"/>
  <c r="I458" i="10" s="1"/>
  <c r="H452" i="10"/>
  <c r="H449" i="10"/>
  <c r="I450" i="10" s="1"/>
  <c r="H446" i="10"/>
  <c r="H443" i="10"/>
  <c r="H438" i="10"/>
  <c r="I439" i="10" s="1"/>
  <c r="H435" i="10"/>
  <c r="I436" i="10" s="1"/>
  <c r="H430" i="10"/>
  <c r="I431" i="10" s="1"/>
  <c r="H427" i="10"/>
  <c r="H422" i="10"/>
  <c r="I423" i="10" s="1"/>
  <c r="H419" i="10"/>
  <c r="H414" i="10"/>
  <c r="I415" i="10" s="1"/>
  <c r="H411" i="10"/>
  <c r="I412" i="10" s="1"/>
  <c r="H405" i="10"/>
  <c r="H403" i="10"/>
  <c r="H393" i="10"/>
  <c r="I394" i="10" s="1"/>
  <c r="H390" i="10"/>
  <c r="I391" i="10" s="1"/>
  <c r="H379" i="10"/>
  <c r="I380" i="10" s="1"/>
  <c r="H375" i="10"/>
  <c r="I376" i="10" s="1"/>
  <c r="H364" i="10"/>
  <c r="I365" i="10" s="1"/>
  <c r="H359" i="10"/>
  <c r="H350" i="10"/>
  <c r="H346" i="10"/>
  <c r="H337" i="10"/>
  <c r="I338" i="10" s="1"/>
  <c r="H332" i="10"/>
  <c r="I333" i="10" s="1"/>
  <c r="H321" i="10"/>
  <c r="I322" i="10" s="1"/>
  <c r="H318" i="10"/>
  <c r="H307" i="10"/>
  <c r="I308" i="10" s="1"/>
  <c r="H302" i="10"/>
  <c r="I303" i="10" s="1"/>
  <c r="H291" i="10"/>
  <c r="I292" i="10" s="1"/>
  <c r="H286" i="10"/>
  <c r="I287" i="10" s="1"/>
  <c r="H276" i="10"/>
  <c r="I277" i="10" s="1"/>
  <c r="H271" i="10"/>
  <c r="I272" i="10" s="1"/>
  <c r="H260" i="10"/>
  <c r="H255" i="10"/>
  <c r="H244" i="10"/>
  <c r="I245" i="10" s="1"/>
  <c r="H231" i="10"/>
  <c r="I232" i="10" s="1"/>
  <c r="H226" i="10"/>
  <c r="H215" i="10"/>
  <c r="I216" i="10" s="1"/>
  <c r="H210" i="10"/>
  <c r="I211" i="10" s="1"/>
  <c r="H200" i="10"/>
  <c r="I201" i="10" s="1"/>
  <c r="H192" i="10"/>
  <c r="H184" i="10"/>
  <c r="H176" i="10"/>
  <c r="H168" i="10"/>
  <c r="H148" i="10"/>
  <c r="H138" i="10"/>
  <c r="H118" i="10"/>
  <c r="I119" i="10" s="1"/>
  <c r="H107" i="10"/>
  <c r="H87" i="10"/>
  <c r="I88" i="10" s="1"/>
  <c r="H76" i="10"/>
  <c r="I77" i="10" s="1"/>
  <c r="H51" i="10"/>
  <c r="I52" i="10" s="1"/>
  <c r="H36" i="10"/>
  <c r="H404" i="10"/>
  <c r="H400" i="10"/>
  <c r="H397" i="10"/>
  <c r="I398" i="10" s="1"/>
  <c r="H392" i="10"/>
  <c r="I393" i="10" s="1"/>
  <c r="H389" i="10"/>
  <c r="H384" i="10"/>
  <c r="I385" i="10" s="1"/>
  <c r="H381" i="10"/>
  <c r="H374" i="10"/>
  <c r="I375" i="10" s="1"/>
  <c r="H369" i="10"/>
  <c r="H366" i="10"/>
  <c r="I367" i="10" s="1"/>
  <c r="H361" i="10"/>
  <c r="I362" i="10" s="1"/>
  <c r="H358" i="10"/>
  <c r="H353" i="10"/>
  <c r="I354" i="10" s="1"/>
  <c r="H345" i="10"/>
  <c r="H340" i="10"/>
  <c r="I341" i="10" s="1"/>
  <c r="H334" i="10"/>
  <c r="I335" i="10" s="1"/>
  <c r="H331" i="10"/>
  <c r="I332" i="10" s="1"/>
  <c r="H326" i="10"/>
  <c r="I327" i="10" s="1"/>
  <c r="H323" i="10"/>
  <c r="H317" i="10"/>
  <c r="H312" i="10"/>
  <c r="H309" i="10"/>
  <c r="I310" i="10" s="1"/>
  <c r="H304" i="10"/>
  <c r="H301" i="10"/>
  <c r="I302" i="10" s="1"/>
  <c r="H296" i="10"/>
  <c r="H293" i="10"/>
  <c r="I294" i="10" s="1"/>
  <c r="H288" i="10"/>
  <c r="H285" i="10"/>
  <c r="I286" i="10" s="1"/>
  <c r="H281" i="10"/>
  <c r="I282" i="10" s="1"/>
  <c r="H278" i="10"/>
  <c r="I279" i="10" s="1"/>
  <c r="H273" i="10"/>
  <c r="I274" i="10" s="1"/>
  <c r="H270" i="10"/>
  <c r="I271" i="10" s="1"/>
  <c r="H265" i="10"/>
  <c r="I266" i="10" s="1"/>
  <c r="H262" i="10"/>
  <c r="I263" i="10" s="1"/>
  <c r="H257" i="10"/>
  <c r="I258" i="10" s="1"/>
  <c r="H254" i="10"/>
  <c r="H249" i="10"/>
  <c r="H246" i="10"/>
  <c r="I247" i="10" s="1"/>
  <c r="H241" i="10"/>
  <c r="I242" i="10" s="1"/>
  <c r="H236" i="10"/>
  <c r="H233" i="10"/>
  <c r="I234" i="10" s="1"/>
  <c r="H228" i="10"/>
  <c r="I229" i="10" s="1"/>
  <c r="H225" i="10"/>
  <c r="H220" i="10"/>
  <c r="H217" i="10"/>
  <c r="I218" i="10" s="1"/>
  <c r="H212" i="10"/>
  <c r="I213" i="10" s="1"/>
  <c r="H209" i="10"/>
  <c r="I210" i="10" s="1"/>
  <c r="H166" i="10"/>
  <c r="I167" i="10" s="1"/>
  <c r="H161" i="10"/>
  <c r="H150" i="10"/>
  <c r="H147" i="10"/>
  <c r="H136" i="10"/>
  <c r="I137" i="10" s="1"/>
  <c r="H131" i="10"/>
  <c r="H121" i="10"/>
  <c r="I122" i="10" s="1"/>
  <c r="H116" i="10"/>
  <c r="I117" i="10" s="1"/>
  <c r="H105" i="10"/>
  <c r="I106" i="10" s="1"/>
  <c r="H101" i="10"/>
  <c r="H90" i="10"/>
  <c r="H85" i="10"/>
  <c r="I86" i="10" s="1"/>
  <c r="H70" i="10"/>
  <c r="I71" i="10" s="1"/>
  <c r="H386" i="10"/>
  <c r="I387" i="10" s="1"/>
  <c r="H383" i="10"/>
  <c r="I384" i="10" s="1"/>
  <c r="H378" i="10"/>
  <c r="I379" i="10" s="1"/>
  <c r="H376" i="10"/>
  <c r="H371" i="10"/>
  <c r="I372" i="10" s="1"/>
  <c r="H368" i="10"/>
  <c r="I369" i="10" s="1"/>
  <c r="H363" i="10"/>
  <c r="I364" i="10" s="1"/>
  <c r="H360" i="10"/>
  <c r="I361" i="10" s="1"/>
  <c r="H355" i="10"/>
  <c r="I356" i="10" s="1"/>
  <c r="H352" i="10"/>
  <c r="I353" i="10" s="1"/>
  <c r="H349" i="10"/>
  <c r="H347" i="10"/>
  <c r="H342" i="10"/>
  <c r="I343" i="10" s="1"/>
  <c r="H339" i="10"/>
  <c r="H336" i="10"/>
  <c r="I337" i="10" s="1"/>
  <c r="H333" i="10"/>
  <c r="I334" i="10" s="1"/>
  <c r="H328" i="10"/>
  <c r="H325" i="10"/>
  <c r="I326" i="10" s="1"/>
  <c r="H320" i="10"/>
  <c r="I321" i="10" s="1"/>
  <c r="H319" i="10"/>
  <c r="H314" i="10"/>
  <c r="I315" i="10" s="1"/>
  <c r="H311" i="10"/>
  <c r="H306" i="10"/>
  <c r="I307" i="10" s="1"/>
  <c r="H303" i="10"/>
  <c r="I304" i="10" s="1"/>
  <c r="H298" i="10"/>
  <c r="I299" i="10" s="1"/>
  <c r="H295" i="10"/>
  <c r="I296" i="10" s="1"/>
  <c r="H290" i="10"/>
  <c r="I291" i="10" s="1"/>
  <c r="H287" i="10"/>
  <c r="H280" i="10"/>
  <c r="I281" i="10" s="1"/>
  <c r="H275" i="10"/>
  <c r="I276" i="10" s="1"/>
  <c r="H272" i="10"/>
  <c r="I273" i="10" s="1"/>
  <c r="H267" i="10"/>
  <c r="I268" i="10" s="1"/>
  <c r="H264" i="10"/>
  <c r="I265" i="10" s="1"/>
  <c r="H259" i="10"/>
  <c r="I260" i="10" s="1"/>
  <c r="H256" i="10"/>
  <c r="I257" i="10" s="1"/>
  <c r="H251" i="10"/>
  <c r="I252" i="10" s="1"/>
  <c r="H248" i="10"/>
  <c r="H243" i="10"/>
  <c r="I244" i="10" s="1"/>
  <c r="H235" i="10"/>
  <c r="H230" i="10"/>
  <c r="I231" i="10" s="1"/>
  <c r="H227" i="10"/>
  <c r="I228" i="10" s="1"/>
  <c r="H222" i="10"/>
  <c r="I223" i="10" s="1"/>
  <c r="H219" i="10"/>
  <c r="I220" i="10" s="1"/>
  <c r="H214" i="10"/>
  <c r="H211" i="10"/>
  <c r="I212" i="10" s="1"/>
  <c r="H205" i="10"/>
  <c r="H202" i="10"/>
  <c r="I203" i="10" s="1"/>
  <c r="H198" i="10"/>
  <c r="I199" i="10" s="1"/>
  <c r="H194" i="10"/>
  <c r="I195" i="10" s="1"/>
  <c r="H190" i="10"/>
  <c r="I191" i="10" s="1"/>
  <c r="H186" i="10"/>
  <c r="I187" i="10" s="1"/>
  <c r="H182" i="10"/>
  <c r="I183" i="10" s="1"/>
  <c r="H178" i="10"/>
  <c r="I179" i="10" s="1"/>
  <c r="H174" i="10"/>
  <c r="I175" i="10" s="1"/>
  <c r="H160" i="10"/>
  <c r="H155" i="10"/>
  <c r="I156" i="10" s="1"/>
  <c r="H146" i="10"/>
  <c r="I147" i="10" s="1"/>
  <c r="H141" i="10"/>
  <c r="I142" i="10" s="1"/>
  <c r="H130" i="10"/>
  <c r="I131" i="10" s="1"/>
  <c r="H126" i="10"/>
  <c r="H115" i="10"/>
  <c r="I116" i="10" s="1"/>
  <c r="H110" i="10"/>
  <c r="I111" i="10" s="1"/>
  <c r="H100" i="10"/>
  <c r="H95" i="10"/>
  <c r="I96" i="10" s="1"/>
  <c r="H84" i="10"/>
  <c r="H79" i="10"/>
  <c r="H69" i="10"/>
  <c r="H63" i="10"/>
  <c r="H55" i="10"/>
  <c r="H48" i="10"/>
  <c r="I49" i="10" s="1"/>
  <c r="H40" i="10"/>
  <c r="I41" i="10" s="1"/>
  <c r="H33" i="10"/>
  <c r="H25" i="10"/>
  <c r="H17" i="10"/>
  <c r="H170" i="10"/>
  <c r="H165" i="10"/>
  <c r="I166" i="10" s="1"/>
  <c r="H162" i="10"/>
  <c r="I163" i="10" s="1"/>
  <c r="H157" i="10"/>
  <c r="H154" i="10"/>
  <c r="H143" i="10"/>
  <c r="H140" i="10"/>
  <c r="I141" i="10" s="1"/>
  <c r="H135" i="10"/>
  <c r="I136" i="10" s="1"/>
  <c r="H132" i="10"/>
  <c r="H127" i="10"/>
  <c r="I128" i="10" s="1"/>
  <c r="H125" i="10"/>
  <c r="H120" i="10"/>
  <c r="H117" i="10"/>
  <c r="I118" i="10" s="1"/>
  <c r="H112" i="10"/>
  <c r="I113" i="10" s="1"/>
  <c r="H109" i="10"/>
  <c r="I110" i="10" s="1"/>
  <c r="H104" i="10"/>
  <c r="I105" i="10" s="1"/>
  <c r="H102" i="10"/>
  <c r="H97" i="10"/>
  <c r="H94" i="10"/>
  <c r="I95" i="10" s="1"/>
  <c r="H89" i="10"/>
  <c r="H86" i="10"/>
  <c r="I87" i="10" s="1"/>
  <c r="H81" i="10"/>
  <c r="I82" i="10" s="1"/>
  <c r="H78" i="10"/>
  <c r="H74" i="10"/>
  <c r="H71" i="10"/>
  <c r="H203" i="10"/>
  <c r="H201" i="10"/>
  <c r="I202" i="10" s="1"/>
  <c r="H199" i="10"/>
  <c r="I200" i="10" s="1"/>
  <c r="H197" i="10"/>
  <c r="H195" i="10"/>
  <c r="I196" i="10" s="1"/>
  <c r="H193" i="10"/>
  <c r="H191" i="10"/>
  <c r="I192" i="10" s="1"/>
  <c r="H189" i="10"/>
  <c r="I190" i="10" s="1"/>
  <c r="H187" i="10"/>
  <c r="I188" i="10" s="1"/>
  <c r="H185" i="10"/>
  <c r="H183" i="10"/>
  <c r="I184" i="10" s="1"/>
  <c r="H181" i="10"/>
  <c r="I182" i="10" s="1"/>
  <c r="H179" i="10"/>
  <c r="I180" i="10" s="1"/>
  <c r="H177" i="10"/>
  <c r="H175" i="10"/>
  <c r="I176" i="10" s="1"/>
  <c r="H173" i="10"/>
  <c r="I174" i="10" s="1"/>
  <c r="H167" i="10"/>
  <c r="I168" i="10" s="1"/>
  <c r="H164" i="10"/>
  <c r="I165" i="10" s="1"/>
  <c r="H159" i="10"/>
  <c r="I160" i="10" s="1"/>
  <c r="H156" i="10"/>
  <c r="I157" i="10" s="1"/>
  <c r="H151" i="10"/>
  <c r="I152" i="10" s="1"/>
  <c r="H149" i="10"/>
  <c r="H145" i="10"/>
  <c r="I146" i="10" s="1"/>
  <c r="H142" i="10"/>
  <c r="I143" i="10" s="1"/>
  <c r="H137" i="10"/>
  <c r="I138" i="10" s="1"/>
  <c r="H134" i="10"/>
  <c r="I135" i="10" s="1"/>
  <c r="H129" i="10"/>
  <c r="I130" i="10" s="1"/>
  <c r="H122" i="10"/>
  <c r="I123" i="10" s="1"/>
  <c r="H119" i="10"/>
  <c r="H114" i="10"/>
  <c r="H111" i="10"/>
  <c r="I112" i="10" s="1"/>
  <c r="H106" i="10"/>
  <c r="H103" i="10"/>
  <c r="I104" i="10" s="1"/>
  <c r="H99" i="10"/>
  <c r="H96" i="10"/>
  <c r="H91" i="10"/>
  <c r="I92" i="10" s="1"/>
  <c r="H88" i="10"/>
  <c r="I89" i="10" s="1"/>
  <c r="H83" i="10"/>
  <c r="H80" i="10"/>
  <c r="I81" i="10" s="1"/>
  <c r="H75" i="10"/>
  <c r="I76" i="10" s="1"/>
  <c r="H73" i="10"/>
  <c r="I74" i="10" s="1"/>
  <c r="H68" i="10"/>
  <c r="H65" i="10"/>
  <c r="I66" i="10" s="1"/>
  <c r="H61" i="10"/>
  <c r="I62" i="10" s="1"/>
  <c r="H57" i="10"/>
  <c r="I58" i="10" s="1"/>
  <c r="H53" i="10"/>
  <c r="H46" i="10"/>
  <c r="H42" i="10"/>
  <c r="H38" i="10"/>
  <c r="H34" i="10"/>
  <c r="I35" i="10" s="1"/>
  <c r="H31" i="10"/>
  <c r="H23" i="10"/>
  <c r="I24" i="10" s="1"/>
  <c r="H19" i="10"/>
  <c r="H15" i="10"/>
  <c r="I16" i="10" s="1"/>
  <c r="H67" i="10"/>
  <c r="I68" i="10" s="1"/>
  <c r="H66" i="10"/>
  <c r="H64" i="10"/>
  <c r="H62" i="10"/>
  <c r="I63" i="10" s="1"/>
  <c r="H60" i="10"/>
  <c r="H58" i="10"/>
  <c r="I59" i="10" s="1"/>
  <c r="H56" i="10"/>
  <c r="H54" i="10"/>
  <c r="I55" i="10" s="1"/>
  <c r="H52" i="10"/>
  <c r="H50" i="10"/>
  <c r="I51" i="10" s="1"/>
  <c r="H49" i="10"/>
  <c r="H47" i="10"/>
  <c r="H45" i="10"/>
  <c r="I46" i="10" s="1"/>
  <c r="H43" i="10"/>
  <c r="H41" i="10"/>
  <c r="I42" i="10" s="1"/>
  <c r="H39" i="10"/>
  <c r="H37" i="10"/>
  <c r="I38" i="10" s="1"/>
  <c r="H35" i="10"/>
  <c r="H30" i="10"/>
  <c r="H28" i="10"/>
  <c r="I29" i="10" s="1"/>
  <c r="H26" i="10"/>
  <c r="H24" i="10"/>
  <c r="I25" i="10" s="1"/>
  <c r="H22" i="10"/>
  <c r="I23" i="10" s="1"/>
  <c r="H20" i="10"/>
  <c r="H16" i="10"/>
  <c r="H14" i="10"/>
  <c r="I15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<sst xmlns="http://schemas.openxmlformats.org/spreadsheetml/2006/main" count="1953" uniqueCount="289">
  <si>
    <t>Back Squat</t>
  </si>
  <si>
    <t>Power Snatch</t>
  </si>
  <si>
    <t>Snatch Pull to Knee + Snatch</t>
  </si>
  <si>
    <t>Snatch Grip Behind the Neck Push Press + Overhead Squat</t>
  </si>
  <si>
    <t>Week 1 - Day 1</t>
  </si>
  <si>
    <t>Week 1 - Day 2</t>
  </si>
  <si>
    <t>Week 1 - Day 3</t>
  </si>
  <si>
    <t>Week 1 - Day 4</t>
  </si>
  <si>
    <t>Week 2 - Day 1</t>
  </si>
  <si>
    <t>Week 2 - Day 2</t>
  </si>
  <si>
    <t>Week 2 - Day 3</t>
  </si>
  <si>
    <t>Week 2 - Day 4</t>
  </si>
  <si>
    <t>Week 3 - Day 1</t>
  </si>
  <si>
    <t>Week 3 - Day 2</t>
  </si>
  <si>
    <t>Week 3 - Day 3</t>
  </si>
  <si>
    <t>Week 3 - Day 4</t>
  </si>
  <si>
    <t>Week 4 - Day 1</t>
  </si>
  <si>
    <t>Week 4 - Day 2</t>
  </si>
  <si>
    <t>Week 4 - Day 3</t>
  </si>
  <si>
    <t>Week 4 - Day 4</t>
  </si>
  <si>
    <t>Clean Deadlift</t>
  </si>
  <si>
    <t>Clean Pull to Knee + Clean</t>
  </si>
  <si>
    <t>Behind the Neck Push Press + Behind the Neck Push Jerk</t>
  </si>
  <si>
    <t>Push Press</t>
  </si>
  <si>
    <t>Hang Snatch</t>
  </si>
  <si>
    <t>Hang Clean + Jerk</t>
  </si>
  <si>
    <t>Behind the Neck Push Press</t>
  </si>
  <si>
    <t>Abdominals</t>
  </si>
  <si>
    <t>3 Sets of 20 Reps*</t>
  </si>
  <si>
    <t>*Athlete's choice on exercise selection.</t>
  </si>
  <si>
    <t>Power Clean + Push Jerk</t>
  </si>
  <si>
    <t>RDL</t>
  </si>
  <si>
    <t>4 Sets of 20 Reps*</t>
  </si>
  <si>
    <t>*Athlete's choice in exercise selection.</t>
  </si>
  <si>
    <t>Front Squat</t>
  </si>
  <si>
    <t>Power Clean + Press</t>
  </si>
  <si>
    <t>5 Sets of 1 P.Cl. + 5 Press*</t>
  </si>
  <si>
    <t>*Work up to weight where you can maintain proper form.</t>
  </si>
  <si>
    <t>Power Snatch + Behind the Neck Snatch Grip Push Press + Overhead Squat</t>
  </si>
  <si>
    <t>Power Clean + Front Squat + Jerk</t>
  </si>
  <si>
    <t>3 Sets of 25 Reps*</t>
  </si>
  <si>
    <t>*Athlete's choice of exercises.</t>
  </si>
  <si>
    <t>Snatch</t>
  </si>
  <si>
    <t>Clean + Jerk</t>
  </si>
  <si>
    <t>Clean Pulls</t>
  </si>
  <si>
    <t>Behind the Neck Push Jerk</t>
  </si>
  <si>
    <t>*Athlete's choice of exercise.</t>
  </si>
  <si>
    <t>Press</t>
  </si>
  <si>
    <t>5 Sets of 5 Reps*</t>
  </si>
  <si>
    <t>Clean &amp; Jerk</t>
  </si>
  <si>
    <t>Power Clean</t>
  </si>
  <si>
    <t>Front Squat + Jerk</t>
  </si>
  <si>
    <t>3 Sets of 30 Reps*</t>
  </si>
  <si>
    <t>Snatch Pulls + Snatch</t>
  </si>
  <si>
    <t>Clean Pulls + Clean</t>
  </si>
  <si>
    <t>Jerk*</t>
  </si>
  <si>
    <t>*Jerks are from the rack.</t>
  </si>
  <si>
    <t>5 Sets of 4 Reps*</t>
  </si>
  <si>
    <t>Good Mornings</t>
  </si>
  <si>
    <t>4 Sets of 8 Reps*</t>
  </si>
  <si>
    <t>Power Snatch + Snatch Grip Behind the Neck Push Press</t>
  </si>
  <si>
    <t>Back Squats</t>
  </si>
  <si>
    <t>4 Sets of 4 Reps*</t>
  </si>
  <si>
    <t>4 Sets of 5 Reps*</t>
  </si>
  <si>
    <t>*Athlete's choice for exercises.</t>
  </si>
  <si>
    <t>Good Morning</t>
  </si>
  <si>
    <t>Week 5 - Day 1</t>
  </si>
  <si>
    <t>Week 5 - Day 2</t>
  </si>
  <si>
    <t>Week 5 - Day 3</t>
  </si>
  <si>
    <t>Week 5 - Day 4</t>
  </si>
  <si>
    <t>Power Clean + Jerk</t>
  </si>
  <si>
    <t>4 Sets of 30 Reps*</t>
  </si>
  <si>
    <t>4 Sets of 4 Reps *</t>
  </si>
  <si>
    <t>Power Clean + Front Squat + Push Jerk</t>
  </si>
  <si>
    <t>4 Sets of 3 Reps*</t>
  </si>
  <si>
    <t>*Work of to weight where you can maintain proper form.</t>
  </si>
  <si>
    <t>Week 6 - Day 1</t>
  </si>
  <si>
    <t>Week 6 - Day 2</t>
  </si>
  <si>
    <t>Week 6 - Day 3</t>
  </si>
  <si>
    <t>Week 6 - Day 4</t>
  </si>
  <si>
    <t>Power Snatch + Overhead Squat</t>
  </si>
  <si>
    <t>Behind the Neck Snatch Grip Press</t>
  </si>
  <si>
    <t>Snatch Deadlift </t>
  </si>
  <si>
    <t>Snatch Pulls </t>
  </si>
  <si>
    <t>Power Clean from Blocks Below the Knee </t>
  </si>
  <si>
    <t>Power Snatch from Blocks Below the Knee </t>
  </si>
  <si>
    <t>Clean Pulls </t>
  </si>
  <si>
    <t>Snatch Pull </t>
  </si>
  <si>
    <t>Clean Pull from Blocks Below the Knee </t>
  </si>
  <si>
    <t>Clean Pull </t>
  </si>
  <si>
    <t>Snatch Pull from Blocks Below the Knee </t>
  </si>
  <si>
    <t>Snatch Deadlift from Blocks Below the Knee </t>
  </si>
  <si>
    <t>http://www.weightliftingwod.com/2012/11/advanced-progression-week-1-day-1.html</t>
  </si>
  <si>
    <t>%</t>
  </si>
  <si>
    <t>Weight</t>
  </si>
  <si>
    <t xml:space="preserve">1 Set of 3 Reps </t>
  </si>
  <si>
    <t xml:space="preserve">4 Sets of 3 Reps </t>
  </si>
  <si>
    <t xml:space="preserve">3 Sets of 2 Reps </t>
  </si>
  <si>
    <t xml:space="preserve">1 Set of 1 Rep </t>
  </si>
  <si>
    <t xml:space="preserve">5 Sets of 1 Rep </t>
  </si>
  <si>
    <t xml:space="preserve">1 Set of 2 Sn.Pu.Kn. + 1 Sn. </t>
  </si>
  <si>
    <t xml:space="preserve">3 Sets of 2 Sn.Pu.Kn. + 1 Sn. </t>
  </si>
  <si>
    <t xml:space="preserve">3 Sets of 3 Sn.Gr.Be.Ne.P.Pr. + 2 Oh.Sq. </t>
  </si>
  <si>
    <t xml:space="preserve">1 Set of 5 Reps </t>
  </si>
  <si>
    <t xml:space="preserve">4 Sets of 4 Reps </t>
  </si>
  <si>
    <t xml:space="preserve">1 Set of 4 Reps </t>
  </si>
  <si>
    <t xml:space="preserve">2 Sets of 3 Reps </t>
  </si>
  <si>
    <t xml:space="preserve">1 Set of 4 Hg.Cl. + 1 Jr. </t>
  </si>
  <si>
    <t xml:space="preserve">1 Set of 3 Hg.Cl. + 1 Jr. </t>
  </si>
  <si>
    <t xml:space="preserve">2 Sets of 4 Hg.Cl. + 1 Jr. </t>
  </si>
  <si>
    <t xml:space="preserve">3 Sets of 4 Reps </t>
  </si>
  <si>
    <t xml:space="preserve">5 Sets of 5 Reps </t>
  </si>
  <si>
    <t xml:space="preserve">1 Set of 3 Rerps </t>
  </si>
  <si>
    <t xml:space="preserve">1 Set of 2 Reps </t>
  </si>
  <si>
    <t>1 Set of 3 Reps </t>
  </si>
  <si>
    <t xml:space="preserve">1 Set of 1 Cl. + 3 Jr. </t>
  </si>
  <si>
    <t xml:space="preserve">1 Set of 1 Cl. + 2 Jr. </t>
  </si>
  <si>
    <t xml:space="preserve">1 Set of 1 Cl. + 1 Jr. </t>
  </si>
  <si>
    <t xml:space="preserve">5 Sets of 4 Reps </t>
  </si>
  <si>
    <t xml:space="preserve">1 Set of 3 Sn.Pu. + 1 Sn. </t>
  </si>
  <si>
    <t xml:space="preserve">4 Sets of 3 Sn.Pu. + 1 Sn. </t>
  </si>
  <si>
    <t xml:space="preserve">1 Set of 3 Cl.Pu. + 1 Cl. </t>
  </si>
  <si>
    <t xml:space="preserve">3 Sets of 3 Cl.Pu. + 1 Cl. </t>
  </si>
  <si>
    <t xml:space="preserve">1 Set of 1 Rep1 </t>
  </si>
  <si>
    <t xml:space="preserve">3 Sets of 3 Reps </t>
  </si>
  <si>
    <t xml:space="preserve">4 Sets of 3 reps </t>
  </si>
  <si>
    <t xml:space="preserve">1 Set of 3 P.Cl. + 1 Jr. </t>
  </si>
  <si>
    <t xml:space="preserve">3 Sets of 3 P.Cl. + 1 Jr. </t>
  </si>
  <si>
    <t xml:space="preserve">4 Sets of 2 Reps </t>
  </si>
  <si>
    <t xml:space="preserve">3 Sets of 1 Cl. + 3 Jr. </t>
  </si>
  <si>
    <t xml:space="preserve">3 Sets of 3 Reps </t>
  </si>
  <si>
    <t xml:space="preserve">4 Sets of 10 Reps </t>
  </si>
  <si>
    <t xml:space="preserve">1 Set of 2 Cl.Pu.Kn. + 1 Cl. </t>
  </si>
  <si>
    <t xml:space="preserve">4 Sets of 2 Cl.Pu.Kn. + 1 Cl. </t>
  </si>
  <si>
    <t xml:space="preserve">3 Sets of 3 Be.N.P.Pr. + 3 Be.N.P.Jr. </t>
  </si>
  <si>
    <t xml:space="preserve">5 Sets of 3 Reps </t>
  </si>
  <si>
    <t xml:space="preserve">1 Set of 2 P.Cl. + 3 P.Jr. </t>
  </si>
  <si>
    <t xml:space="preserve">1 Set of 1 P.Cl. + 2 P.Jr. </t>
  </si>
  <si>
    <t xml:space="preserve">3 Sets of 2 P.Cl. + 2 P.Jr. </t>
  </si>
  <si>
    <t xml:space="preserve">1 Set of 3 P.Cl. + 1 P.Jr. </t>
  </si>
  <si>
    <t xml:space="preserve">1 Set of 1 P.Cl. + 1 P.Jr. </t>
  </si>
  <si>
    <t xml:space="preserve">2 Sets of 2 Reps </t>
  </si>
  <si>
    <t xml:space="preserve">1 Set of 3 P.Sn. + 3 Sn.G.B.N.P.Pr. </t>
  </si>
  <si>
    <t xml:space="preserve">1 Set of 2 P.Sn. + 3 Sn.G.B.N.P.Pr. </t>
  </si>
  <si>
    <t xml:space="preserve">1 Set of 2 Cl. + 1 Jr. </t>
  </si>
  <si>
    <t xml:space="preserve">3 Sets of 3 Cl. + 1 Jr. </t>
  </si>
  <si>
    <t xml:space="preserve">1 Set of 3 P.Sn. + 3 Oh.S. </t>
  </si>
  <si>
    <t xml:space="preserve">2 Sets of 3 P.Sn. + 3 Oh.S. </t>
  </si>
  <si>
    <t xml:space="preserve">3 Sets of 3 P.Cl. + 1 P.Jr. </t>
  </si>
  <si>
    <t xml:space="preserve">4 Sets of 5 Reps </t>
  </si>
  <si>
    <t xml:space="preserve">4 Sets of 2 Sn.Pu.Kn. + 1 Sn. </t>
  </si>
  <si>
    <t xml:space="preserve">3 Sets of 3 Sn.Gr.Be.N.P.Pr. + 3 Oh.S. </t>
  </si>
  <si>
    <t xml:space="preserve">3 Sets of 4 Reps </t>
  </si>
  <si>
    <t xml:space="preserve">3 Sets of 3 Hg.Cl. + 1 Jr. </t>
  </si>
  <si>
    <t xml:space="preserve">3 Sets of 2 Cl. + 1 Jr. </t>
  </si>
  <si>
    <t xml:space="preserve">1 Set of 1 Reps </t>
  </si>
  <si>
    <t xml:space="preserve">5 Sets f 3 Reps </t>
  </si>
  <si>
    <t xml:space="preserve">1 Set of 3 P.Sn. + 3 B.N.Sn.Gr.P.Pr. + 3 Oh.S. </t>
  </si>
  <si>
    <t xml:space="preserve">1 Set of 3 P.Sn. + 3 B.N.Sn.Gr.P.Pr. + 2 Oh.S. </t>
  </si>
  <si>
    <t xml:space="preserve">1 Set of 3 P.Cl. + 3 F.S. + 3 P.Jr. </t>
  </si>
  <si>
    <t xml:space="preserve">1 Set of 3 P.Cl. + 3 F.S. + 2 P.Jr. </t>
  </si>
  <si>
    <t xml:space="preserve">1 Set of 3 Cl. + 1 Jr. </t>
  </si>
  <si>
    <t xml:space="preserve">3 Sets of 10 Reps </t>
  </si>
  <si>
    <t xml:space="preserve">1 Set of 3 P.Sn. + 3 B.N.Sn.G.P.Pr. + 3 Oh.S. </t>
  </si>
  <si>
    <t xml:space="preserve">3 Sets of 3 P.Sn. + 3 B.N.Sn.G.P.Pr. + 3 Oh.S. </t>
  </si>
  <si>
    <t xml:space="preserve">1 Set of 3 P.Cl. + 3 F.S. + 3 Jr. </t>
  </si>
  <si>
    <t xml:space="preserve">3 Sets of 3 P.Cl. + 3 F.S. + 3 Jr. </t>
  </si>
  <si>
    <t xml:space="preserve">1 Set of 3 F.S. + 1 Jr. </t>
  </si>
  <si>
    <t xml:space="preserve">4 Sets of 2 F.S. + 1 Jr. </t>
  </si>
  <si>
    <t xml:space="preserve">1 Set of 2 Cl. +1 Jr. </t>
  </si>
  <si>
    <t xml:space="preserve">1 Set of 1 Cl. +1 Jr. </t>
  </si>
  <si>
    <t xml:space="preserve">3 Sets of 3 P.Sn. + 3 B.N.Sn.G.P.Pr. + 2 Oh.S. </t>
  </si>
  <si>
    <t xml:space="preserve">3 Sets of 3 P.Cl. + 3 F.S. + 2 Jr. </t>
  </si>
  <si>
    <t>Overhead Squat</t>
  </si>
  <si>
    <t>1Set of 1 Rep</t>
  </si>
  <si>
    <t>Clean</t>
  </si>
  <si>
    <t>Deadlift</t>
  </si>
  <si>
    <t>Day 1</t>
  </si>
  <si>
    <t>Day 2</t>
  </si>
  <si>
    <t>Day 3</t>
  </si>
  <si>
    <t>Day 4</t>
  </si>
  <si>
    <t>bs</t>
  </si>
  <si>
    <t>fs</t>
  </si>
  <si>
    <t>os</t>
  </si>
  <si>
    <t>c</t>
  </si>
  <si>
    <t>s</t>
  </si>
  <si>
    <t>cj</t>
  </si>
  <si>
    <t>d</t>
  </si>
  <si>
    <t>pp</t>
  </si>
  <si>
    <t>4 Sets of 10 Reps</t>
  </si>
  <si>
    <t>1RM</t>
  </si>
  <si>
    <t>Code</t>
  </si>
  <si>
    <t>Perc</t>
  </si>
  <si>
    <t>3 Sets of 20 Reps</t>
  </si>
  <si>
    <t>Athlete's choice on exercise selection.</t>
  </si>
  <si>
    <t>4 Sets of 20 Reps</t>
  </si>
  <si>
    <t>3 Sets of 25 Reps</t>
  </si>
  <si>
    <t>Work up to weight where you can maintain proper form.</t>
  </si>
  <si>
    <t>5 Sets of 5 Reps</t>
  </si>
  <si>
    <t>3 Sets of 30 Reps</t>
  </si>
  <si>
    <t>5 Sets of 4 Reps</t>
  </si>
  <si>
    <t>4 Sets of 8 Reps</t>
  </si>
  <si>
    <t>4 Sets of 4 Reps</t>
  </si>
  <si>
    <t>4 Sets of 5 Reps</t>
  </si>
  <si>
    <t>4 Sets of 30 Reps</t>
  </si>
  <si>
    <t>4 Sets of 3 Reps</t>
  </si>
  <si>
    <t>5 Sets of 1 P.Cl. + 5 Press</t>
  </si>
  <si>
    <t>Jerk - from the rack</t>
  </si>
  <si>
    <t>Week</t>
  </si>
  <si>
    <t>Day</t>
  </si>
  <si>
    <t>Section</t>
  </si>
  <si>
    <t>Programming</t>
  </si>
  <si>
    <t>1 Set of 1 Rep</t>
  </si>
  <si>
    <t>1 Set of 3 Reps</t>
  </si>
  <si>
    <t>Snatch Pulls</t>
  </si>
  <si>
    <t>3 Sets of 2 Reps</t>
  </si>
  <si>
    <t>3 Sets of 3 P.Cl. + 3 F.S. + 2 Jr.</t>
  </si>
  <si>
    <t>1 Set of 3 P.Cl. + 3 F.S. + 3 Jr.</t>
  </si>
  <si>
    <t>3 Sets of 3 P.Sn. + 3 B.N.Sn.G.P.Pr. + 2 Oh.S.</t>
  </si>
  <si>
    <t>1 Set of 3 P.Sn. + 3 B.N.Sn.G.P.Pr. + 3 Oh.S.</t>
  </si>
  <si>
    <t>1 Set of 4 Reps</t>
  </si>
  <si>
    <t>5 Sets of 1 Rep</t>
  </si>
  <si>
    <t>1 Set of 2 Sn.Pu.Kn. + 1 Sn.</t>
  </si>
  <si>
    <t>3 Sets of 2 Sn.Pu.Kn. + 1 Sn.</t>
  </si>
  <si>
    <t>3 Sets of 3 Sn.Gr.Be.Ne.P.Pr. + 2 Oh.Sq.</t>
  </si>
  <si>
    <t>1 Set of 2 Cl.Pu.Kn. + 1 Cl.</t>
  </si>
  <si>
    <t>4 Sets of 2 Cl.Pu.Kn. + 1 Cl.</t>
  </si>
  <si>
    <t>3 Sets of 3 Be.N.P.Pr. + 3 Be.N.P.Jr.</t>
  </si>
  <si>
    <t>1 Set of 5 Reps</t>
  </si>
  <si>
    <t>3 Sets of 3 Cl. + 1 Jr.</t>
  </si>
  <si>
    <t>1 Set of 2 Cl. + 1 Jr.</t>
  </si>
  <si>
    <t>1 Set of 3 Cl. + 1 Jr.</t>
  </si>
  <si>
    <t>3 Sets of 10 Reps</t>
  </si>
  <si>
    <t>5 Sets of 3 Reps</t>
  </si>
  <si>
    <t>2 Sets of 3 Reps</t>
  </si>
  <si>
    <t>3 Sets of 4 Reps</t>
  </si>
  <si>
    <t>1 Set of 2 Reps</t>
  </si>
  <si>
    <t>3 Sets of 4 Reps</t>
  </si>
  <si>
    <t>3 Sets of 3 Reps</t>
  </si>
  <si>
    <t>2 Sets of 2 Reps</t>
  </si>
  <si>
    <t>4 Sets of 2 Reps</t>
  </si>
  <si>
    <t>1 Set of 1 Reps</t>
  </si>
  <si>
    <t>5 Sets f 3 Reps</t>
  </si>
  <si>
    <t>3 Sets of 3 Reps</t>
  </si>
  <si>
    <t>4 Sets of 2 Sn.Pu.Kn. + 1 Sn.</t>
  </si>
  <si>
    <t>3 Sets of 3 Sn.Gr.Be.N.P.Pr. + 3 Oh.S.</t>
  </si>
  <si>
    <t>1 Set of 4 Hg.Cl. + 1 Jr.</t>
  </si>
  <si>
    <t>1 Set of 3 Hg.Cl. + 1 Jr.</t>
  </si>
  <si>
    <t>2 Sets of 4 Hg.Cl. + 1 Jr.</t>
  </si>
  <si>
    <t>1 Set of 2 P.Cl. + 3 P.Jr.</t>
  </si>
  <si>
    <t>1 Set of 1 P.Cl. + 2 P.Jr.</t>
  </si>
  <si>
    <t>3 Sets of 2 P.Cl. + 2 P.Jr.</t>
  </si>
  <si>
    <t>3 Sets of 3 Hg.Cl. + 1 Jr.</t>
  </si>
  <si>
    <t>3 Sets of 3 P.Sn. + 3 B.N.Sn.G.P.Pr. + 3 Oh.S.</t>
  </si>
  <si>
    <t>3 Sets of 3 P.Cl. + 3 F.S. + 3 Jr.</t>
  </si>
  <si>
    <t>1 Set of 1 Cl. + 3 Jr.</t>
  </si>
  <si>
    <t>1 Set of 1 Cl. + 2 Jr.</t>
  </si>
  <si>
    <t>1 Set of 1 Cl. + 1 Jr.</t>
  </si>
  <si>
    <t>3 Sets of 3 P.Cl. + 1 P.Jr.</t>
  </si>
  <si>
    <t>1 Set of 3 P.Cl. + 1 P.Jr.</t>
  </si>
  <si>
    <t>2 Sets of 3 P.Sn. + 3 Oh.S.</t>
  </si>
  <si>
    <t>1 Set of 3 P.Sn. + 3 Oh.S.</t>
  </si>
  <si>
    <t>3 Sets of 1 Cl. + 3 Jr.</t>
  </si>
  <si>
    <t>1 Set of 3 P.Cl. + 3 F.S. + 2 P.Jr.</t>
  </si>
  <si>
    <t>1 Set of 3 P.Cl. + 3 F.S. + 3 P.Jr.</t>
  </si>
  <si>
    <t>1 Set of 3 P.Sn. + 3 B.N.Sn.Gr.P.Pr. + 2 Oh.S.</t>
  </si>
  <si>
    <t>1 Set of 3 P.Sn. + 3 B.N.Sn.Gr.P.Pr. + 3 Oh.S.</t>
  </si>
  <si>
    <t>3 Sets of 3 P.Cl. + 1 Jr.</t>
  </si>
  <si>
    <t>1 Set of 3 P.Cl. + 1 Jr.</t>
  </si>
  <si>
    <t>1 Set of 1 P.Cl. + 1 P.Jr.</t>
  </si>
  <si>
    <t>3 Sets of 2 Cl. + 1 Jr.</t>
  </si>
  <si>
    <t>1 Set of 3 F.S. + 1 Jr.</t>
  </si>
  <si>
    <t>4 Sets of 2 F.S. + 1 Jr.</t>
  </si>
  <si>
    <t>1 Set of 3 Sn.Pu. + 1 Sn.</t>
  </si>
  <si>
    <t>4 Sets of 3 Sn.Pu. + 1 Sn.</t>
  </si>
  <si>
    <t>1 Set of 3 Cl.Pu. + 1 Cl.</t>
  </si>
  <si>
    <t>3 Sets of 3 Cl.Pu. + 1 Cl.</t>
  </si>
  <si>
    <t>1 Set of 3 P.Sn. + 3 Sn.G.B.N.P.Pr.</t>
  </si>
  <si>
    <t>1 Set of 2 P.Sn. + 3 Sn.G.B.N.P.Pr.</t>
  </si>
  <si>
    <t>1 Set of 2 Cl. +1 Jr.</t>
  </si>
  <si>
    <t>1 Set of 1 Cl. +1 Jr.</t>
  </si>
  <si>
    <t>Snatch Deadlift</t>
  </si>
  <si>
    <t>Snatch Deadlift from Blocks Below the Knee</t>
  </si>
  <si>
    <t>Title</t>
  </si>
  <si>
    <t>Set</t>
  </si>
  <si>
    <t>Space</t>
  </si>
  <si>
    <t>No %</t>
  </si>
  <si>
    <t>&lt;tr&gt;&lt;td colspan="3" style="height: 40px;"&gt;&lt;/td&gt;&lt;/tr&gt;</t>
  </si>
  <si>
    <t>CODING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</si>
</sst>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9"/>
      <color theme="10"/>
      <name val="Tahoma"/>
      <family val="2"/>
    </font>
    <font>
      <sz val="9"/>
      <color theme="1"/>
      <name val="Tahoma"/>
      <family val="2"/>
    </font>
    <font>
      <sz val="12"/>
      <color theme="1"/>
      <name val="Tahoma"/>
      <family val="2"/>
    </font>
    <font>
      <sz val="12"/>
      <name val="Tahoma"/>
      <family val="2"/>
    </font>
    <font>
      <b/>
      <sz val="9"/>
      <color theme="1"/>
      <name val="Tahoma"/>
      <family val="2"/>
    </font>
    <font>
      <sz val="12"/>
      <color theme="0"/>
      <name val="Tahoma"/>
      <family val="2"/>
    </font>
    <font>
      <sz val="11"/>
      <color theme="1"/>
      <name val="Aptos"/>
      <family val="2"/>
    </font>
    <font>
      <sz val="9"/>
      <color rgb="FF0070C0"/>
      <name val="Tahoma"/>
      <family val="2"/>
    </font>
    <font>
      <sz val="9"/>
      <color rgb="FF00B0F0"/>
      <name val="Tahoma"/>
      <family val="2"/>
    </font>
    <font>
      <sz val="9"/>
      <color rgb="FF00B050"/>
      <name val="Tahoma"/>
      <family val="2"/>
    </font>
    <font>
      <sz val="9"/>
      <color rgb="FFFF0000"/>
      <name val="Tahoma"/>
      <family val="2"/>
    </font>
    <font>
      <b/>
      <sz val="11"/>
      <color rgb="FF0070C0"/>
      <name val="Tahoma"/>
      <family val="2"/>
    </font>
    <font>
      <b/>
      <sz val="11"/>
      <color rgb="FF00B0F0"/>
      <name val="Tahoma"/>
      <family val="2"/>
    </font>
    <font>
      <b/>
      <sz val="11"/>
      <color rgb="FFFF0000"/>
      <name val="Tahoma"/>
      <family val="2"/>
    </font>
    <font>
      <b/>
      <sz val="11"/>
      <color rgb="FF00B050"/>
      <name val="Tahoma"/>
      <family val="2"/>
    </font>
    <font>
      <b/>
      <sz val="1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rgb="FFFA9189"/>
        <bgColor indexed="64"/>
      </patternFill>
    </fill>
    <fill>
      <patternFill patternType="solid">
        <fgColor rgb="FFFCAE7C"/>
        <bgColor indexed="64"/>
      </patternFill>
    </fill>
    <fill>
      <patternFill patternType="solid">
        <fgColor rgb="FFF9FFB5"/>
        <bgColor indexed="64"/>
      </patternFill>
    </fill>
    <fill>
      <patternFill patternType="solid">
        <fgColor rgb="FFB3F5BC"/>
        <bgColor indexed="64"/>
      </patternFill>
    </fill>
    <fill>
      <patternFill patternType="solid">
        <fgColor rgb="FFA3FFFF"/>
        <bgColor indexed="64"/>
      </patternFill>
    </fill>
    <fill>
      <patternFill patternType="solid">
        <fgColor rgb="FFECBAE7"/>
        <bgColor indexed="64"/>
      </patternFill>
    </fill>
    <fill>
      <patternFill patternType="solid">
        <fgColor rgb="FF97B2FF"/>
        <bgColor indexed="64"/>
      </patternFill>
    </fill>
    <fill>
      <patternFill patternType="solid">
        <fgColor rgb="FFCBB3FF"/>
        <bgColor indexed="64"/>
      </patternFill>
    </fill>
    <fill>
      <patternFill patternType="solid">
        <fgColor theme="1" tint="0.34998626667073579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5">
    <xf numFmtId="0" fontId="0" fillId="0" borderId="0" xfId="0"/>
    <xf numFmtId="0" fontId="3" fillId="0" borderId="0" xfId="1" applyFont="1" applyAlignment="1">
      <alignment horizontal="left"/>
    </xf>
    <xf numFmtId="0" fontId="4" fillId="0" borderId="0" xfId="0" applyFont="1" applyAlignment="1">
      <alignment horizontal="center" vertical="center"/>
    </xf>
    <xf numFmtId="0" fontId="4" fillId="0" borderId="0" xfId="0" applyFont="1"/>
    <xf numFmtId="0" fontId="3" fillId="0" borderId="0" xfId="1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1" xfId="0" applyFont="1" applyBorder="1"/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3" xfId="0" applyFont="1" applyBorder="1"/>
    <xf numFmtId="0" fontId="4" fillId="0" borderId="14" xfId="0" applyFont="1" applyBorder="1" applyAlignment="1">
      <alignment horizontal="center" vertical="center"/>
    </xf>
    <xf numFmtId="0" fontId="4" fillId="0" borderId="8" xfId="0" applyFont="1" applyBorder="1"/>
    <xf numFmtId="0" fontId="4" fillId="0" borderId="18" xfId="0" applyFont="1" applyBorder="1"/>
    <xf numFmtId="0" fontId="5" fillId="0" borderId="0" xfId="0" applyFont="1" applyAlignment="1">
      <alignment horizontal="center" vertical="center"/>
    </xf>
    <xf numFmtId="0" fontId="5" fillId="2" borderId="16" xfId="0" applyFont="1" applyFill="1" applyBorder="1"/>
    <xf numFmtId="0" fontId="5" fillId="3" borderId="11" xfId="0" applyFont="1" applyFill="1" applyBorder="1"/>
    <xf numFmtId="0" fontId="5" fillId="4" borderId="11" xfId="0" applyFont="1" applyFill="1" applyBorder="1"/>
    <xf numFmtId="0" fontId="5" fillId="5" borderId="11" xfId="0" applyFont="1" applyFill="1" applyBorder="1"/>
    <xf numFmtId="0" fontId="5" fillId="6" borderId="11" xfId="0" applyFont="1" applyFill="1" applyBorder="1"/>
    <xf numFmtId="0" fontId="5" fillId="8" borderId="11" xfId="0" applyFont="1" applyFill="1" applyBorder="1"/>
    <xf numFmtId="0" fontId="6" fillId="9" borderId="11" xfId="0" applyFont="1" applyFill="1" applyBorder="1"/>
    <xf numFmtId="0" fontId="6" fillId="7" borderId="13" xfId="0" applyFont="1" applyFill="1" applyBorder="1"/>
    <xf numFmtId="0" fontId="5" fillId="2" borderId="17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1" fontId="4" fillId="6" borderId="12" xfId="0" applyNumberFormat="1" applyFont="1" applyFill="1" applyBorder="1" applyAlignment="1">
      <alignment horizontal="center" vertical="center"/>
    </xf>
    <xf numFmtId="0" fontId="7" fillId="0" borderId="11" xfId="0" applyFont="1" applyBorder="1"/>
    <xf numFmtId="0" fontId="7" fillId="0" borderId="9" xfId="0" applyFont="1" applyBorder="1"/>
    <xf numFmtId="0" fontId="7" fillId="0" borderId="7" xfId="0" applyFont="1" applyBorder="1"/>
    <xf numFmtId="0" fontId="7" fillId="0" borderId="8" xfId="0" applyFont="1" applyBorder="1"/>
    <xf numFmtId="0" fontId="8" fillId="10" borderId="3" xfId="0" applyFont="1" applyFill="1" applyBorder="1" applyAlignment="1">
      <alignment horizontal="center" vertical="center"/>
    </xf>
    <xf numFmtId="0" fontId="8" fillId="10" borderId="4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9" fontId="4" fillId="0" borderId="14" xfId="0" applyNumberFormat="1" applyFont="1" applyBorder="1" applyAlignment="1">
      <alignment horizontal="center" vertical="center"/>
    </xf>
    <xf numFmtId="1" fontId="4" fillId="6" borderId="15" xfId="0" applyNumberFormat="1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/>
    </xf>
    <xf numFmtId="0" fontId="6" fillId="7" borderId="15" xfId="0" applyFont="1" applyFill="1" applyBorder="1" applyAlignment="1">
      <alignment horizontal="center" vertical="center"/>
    </xf>
    <xf numFmtId="1" fontId="8" fillId="10" borderId="5" xfId="0" applyNumberFormat="1" applyFont="1" applyFill="1" applyBorder="1" applyAlignment="1">
      <alignment horizontal="center" vertical="center"/>
    </xf>
    <xf numFmtId="1" fontId="4" fillId="0" borderId="10" xfId="0" applyNumberFormat="1" applyFont="1" applyBorder="1" applyAlignment="1">
      <alignment horizontal="center" vertical="center"/>
    </xf>
    <xf numFmtId="1" fontId="4" fillId="2" borderId="12" xfId="0" applyNumberFormat="1" applyFont="1" applyFill="1" applyBorder="1" applyAlignment="1">
      <alignment horizontal="center" vertical="center"/>
    </xf>
    <xf numFmtId="1" fontId="4" fillId="0" borderId="12" xfId="0" applyNumberFormat="1" applyFont="1" applyBorder="1" applyAlignment="1">
      <alignment horizontal="center" vertical="center"/>
    </xf>
    <xf numFmtId="1" fontId="4" fillId="4" borderId="15" xfId="0" applyNumberFormat="1" applyFont="1" applyFill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4" fillId="5" borderId="12" xfId="0" applyNumberFormat="1" applyFont="1" applyFill="1" applyBorder="1" applyAlignment="1">
      <alignment horizontal="center" vertical="center"/>
    </xf>
    <xf numFmtId="1" fontId="4" fillId="7" borderId="12" xfId="0" applyNumberFormat="1" applyFont="1" applyFill="1" applyBorder="1" applyAlignment="1">
      <alignment horizontal="center" vertical="center"/>
    </xf>
    <xf numFmtId="1" fontId="4" fillId="0" borderId="15" xfId="0" applyNumberFormat="1" applyFont="1" applyBorder="1" applyAlignment="1">
      <alignment horizontal="center" vertical="center"/>
    </xf>
    <xf numFmtId="1" fontId="4" fillId="4" borderId="12" xfId="0" applyNumberFormat="1" applyFont="1" applyFill="1" applyBorder="1" applyAlignment="1">
      <alignment horizontal="center" vertical="center"/>
    </xf>
    <xf numFmtId="1" fontId="4" fillId="8" borderId="12" xfId="0" applyNumberFormat="1" applyFont="1" applyFill="1" applyBorder="1" applyAlignment="1">
      <alignment horizontal="center" vertical="center"/>
    </xf>
    <xf numFmtId="1" fontId="4" fillId="9" borderId="12" xfId="0" applyNumberFormat="1" applyFont="1" applyFill="1" applyBorder="1" applyAlignment="1">
      <alignment horizontal="center" vertical="center"/>
    </xf>
    <xf numFmtId="1" fontId="4" fillId="3" borderId="12" xfId="0" applyNumberFormat="1" applyFont="1" applyFill="1" applyBorder="1" applyAlignment="1">
      <alignment horizontal="center" vertical="center"/>
    </xf>
    <xf numFmtId="1" fontId="5" fillId="2" borderId="17" xfId="0" applyNumberFormat="1" applyFont="1" applyFill="1" applyBorder="1" applyAlignment="1">
      <alignment horizontal="center" vertical="center"/>
    </xf>
    <xf numFmtId="1" fontId="5" fillId="3" borderId="12" xfId="0" applyNumberFormat="1" applyFont="1" applyFill="1" applyBorder="1" applyAlignment="1">
      <alignment horizontal="center" vertical="center"/>
    </xf>
    <xf numFmtId="1" fontId="5" fillId="4" borderId="12" xfId="0" applyNumberFormat="1" applyFont="1" applyFill="1" applyBorder="1" applyAlignment="1">
      <alignment horizontal="center" vertical="center"/>
    </xf>
    <xf numFmtId="1" fontId="5" fillId="5" borderId="12" xfId="0" applyNumberFormat="1" applyFont="1" applyFill="1" applyBorder="1" applyAlignment="1">
      <alignment horizontal="center" vertical="center"/>
    </xf>
    <xf numFmtId="1" fontId="5" fillId="6" borderId="12" xfId="0" applyNumberFormat="1" applyFont="1" applyFill="1" applyBorder="1" applyAlignment="1">
      <alignment horizontal="center" vertical="center"/>
    </xf>
    <xf numFmtId="1" fontId="5" fillId="8" borderId="12" xfId="0" applyNumberFormat="1" applyFont="1" applyFill="1" applyBorder="1" applyAlignment="1">
      <alignment horizontal="center" vertical="center"/>
    </xf>
    <xf numFmtId="1" fontId="6" fillId="9" borderId="12" xfId="0" applyNumberFormat="1" applyFont="1" applyFill="1" applyBorder="1" applyAlignment="1">
      <alignment horizontal="center" vertical="center"/>
    </xf>
    <xf numFmtId="1" fontId="6" fillId="7" borderId="15" xfId="0" applyNumberFormat="1" applyFont="1" applyFill="1" applyBorder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4" fillId="0" borderId="0" xfId="0" applyFont="1" applyAlignment="1">
      <alignment vertical="center"/>
    </xf>
    <xf numFmtId="0" fontId="5" fillId="2" borderId="16" xfId="0" applyFont="1" applyFill="1" applyBorder="1" applyAlignment="1">
      <alignment vertical="center"/>
    </xf>
    <xf numFmtId="0" fontId="5" fillId="3" borderId="11" xfId="0" applyFont="1" applyFill="1" applyBorder="1" applyAlignment="1">
      <alignment vertical="center"/>
    </xf>
    <xf numFmtId="0" fontId="5" fillId="4" borderId="11" xfId="0" applyFont="1" applyFill="1" applyBorder="1" applyAlignment="1">
      <alignment vertical="center"/>
    </xf>
    <xf numFmtId="0" fontId="5" fillId="5" borderId="11" xfId="0" applyFont="1" applyFill="1" applyBorder="1" applyAlignment="1">
      <alignment vertical="center"/>
    </xf>
    <xf numFmtId="0" fontId="5" fillId="6" borderId="11" xfId="0" applyFont="1" applyFill="1" applyBorder="1" applyAlignment="1">
      <alignment vertical="center"/>
    </xf>
    <xf numFmtId="0" fontId="5" fillId="8" borderId="11" xfId="0" applyFont="1" applyFill="1" applyBorder="1" applyAlignment="1">
      <alignment vertical="center"/>
    </xf>
    <xf numFmtId="0" fontId="6" fillId="9" borderId="11" xfId="0" applyFont="1" applyFill="1" applyBorder="1" applyAlignment="1">
      <alignment vertical="center"/>
    </xf>
    <xf numFmtId="0" fontId="6" fillId="7" borderId="13" xfId="0" applyFont="1" applyFill="1" applyBorder="1" applyAlignment="1">
      <alignment vertical="center"/>
    </xf>
    <xf numFmtId="1" fontId="4" fillId="0" borderId="1" xfId="0" applyNumberFormat="1" applyFont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1" fontId="4" fillId="6" borderId="1" xfId="0" applyNumberFormat="1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 vertical="center"/>
    </xf>
    <xf numFmtId="1" fontId="4" fillId="7" borderId="1" xfId="0" applyNumberFormat="1" applyFont="1" applyFill="1" applyBorder="1" applyAlignment="1">
      <alignment horizontal="center" vertical="center"/>
    </xf>
    <xf numFmtId="1" fontId="4" fillId="8" borderId="1" xfId="0" applyNumberFormat="1" applyFont="1" applyFill="1" applyBorder="1" applyAlignment="1">
      <alignment horizontal="center" vertical="center"/>
    </xf>
    <xf numFmtId="1" fontId="4" fillId="9" borderId="1" xfId="0" applyNumberFormat="1" applyFont="1" applyFill="1" applyBorder="1" applyAlignment="1">
      <alignment horizontal="center" vertical="center"/>
    </xf>
    <xf numFmtId="1" fontId="4" fillId="3" borderId="1" xfId="0" applyNumberFormat="1" applyFont="1" applyFill="1" applyBorder="1" applyAlignment="1">
      <alignment horizontal="center"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4" borderId="1" xfId="0" applyNumberFormat="1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1" fontId="5" fillId="6" borderId="1" xfId="0" applyNumberFormat="1" applyFont="1" applyFill="1" applyBorder="1" applyAlignment="1">
      <alignment horizontal="center" vertical="center"/>
    </xf>
    <xf numFmtId="1" fontId="5" fillId="8" borderId="1" xfId="0" applyNumberFormat="1" applyFont="1" applyFill="1" applyBorder="1" applyAlignment="1">
      <alignment horizontal="center" vertical="center"/>
    </xf>
    <xf numFmtId="1" fontId="6" fillId="9" borderId="1" xfId="0" applyNumberFormat="1" applyFont="1" applyFill="1" applyBorder="1" applyAlignment="1">
      <alignment horizontal="center" vertical="center"/>
    </xf>
    <xf numFmtId="1" fontId="5" fillId="2" borderId="19" xfId="0" applyNumberFormat="1" applyFont="1" applyFill="1" applyBorder="1" applyAlignment="1">
      <alignment horizontal="center" vertical="center"/>
    </xf>
    <xf numFmtId="1" fontId="6" fillId="7" borderId="14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1" applyFont="1" applyAlignment="1">
      <alignment vertical="center"/>
    </xf>
    <xf numFmtId="0" fontId="3" fillId="0" borderId="0" xfId="1" applyFont="1" applyAlignment="1">
      <alignment horizontal="left"/>
    </xf>
    <xf numFmtId="0" fontId="8" fillId="10" borderId="1" xfId="0" applyFont="1" applyFill="1" applyBorder="1" applyAlignment="1">
      <alignment horizontal="center" vertical="center"/>
    </xf>
    <xf numFmtId="1" fontId="8" fillId="10" borderId="1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18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0" fontId="15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0" fontId="17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A9189"/>
      <color rgb="FFFCAE7C"/>
      <color rgb="FFA3FFFF"/>
      <color rgb="FFF9FFB5"/>
      <color rgb="FFB3F5BC"/>
      <color rgb="FFECBAE7"/>
      <color rgb="FF97B2FF"/>
      <color rgb="FFCBB3FF"/>
      <color rgb="FFA4DAFE"/>
      <color rgb="FFD1B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weightliftingwod.com/2012/11/advanced-progression-week-1-day-1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weightliftingwod.com/2012/11/advanced-progression-week-1-day-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69A20-414A-4F68-82F5-ACDA1DA5A18B}">
  <sheetPr codeName="Sheet1"/>
  <dimension ref="A1:L8"/>
  <sheetViews>
    <sheetView zoomScaleNormal="100" workbookViewId="0">
      <selection activeCell="B1" sqref="B1:B8"/>
    </sheetView>
  </sheetViews>
  <sheetFormatPr defaultRowHeight="11.25" x14ac:dyDescent="0.15"/>
  <cols>
    <col min="1" max="1" width="48.42578125" style="3" customWidth="1"/>
    <col min="2" max="3" width="8.85546875" style="2" customWidth="1"/>
    <col min="4" max="4" width="48.42578125" style="3" customWidth="1"/>
    <col min="5" max="6" width="8.85546875" style="2" customWidth="1"/>
    <col min="7" max="7" width="48.42578125" style="3" customWidth="1"/>
    <col min="8" max="9" width="8.85546875" style="2" customWidth="1"/>
    <col min="10" max="10" width="48.42578125" style="3" customWidth="1"/>
    <col min="11" max="12" width="8.85546875" style="2" customWidth="1"/>
    <col min="13" max="16384" width="9.140625" style="3"/>
  </cols>
  <sheetData>
    <row r="1" spans="1:7" ht="15" x14ac:dyDescent="0.2">
      <c r="A1" s="14" t="s">
        <v>0</v>
      </c>
      <c r="B1" s="22">
        <v>200</v>
      </c>
      <c r="C1" s="1"/>
      <c r="D1" s="1"/>
      <c r="E1" s="1"/>
      <c r="F1" s="1"/>
      <c r="G1" s="1"/>
    </row>
    <row r="2" spans="1:7" ht="15" x14ac:dyDescent="0.2">
      <c r="A2" s="15" t="s">
        <v>34</v>
      </c>
      <c r="B2" s="23">
        <v>140</v>
      </c>
      <c r="C2" s="1"/>
      <c r="D2" s="1"/>
      <c r="E2" s="1"/>
      <c r="F2" s="1"/>
      <c r="G2" s="1"/>
    </row>
    <row r="3" spans="1:7" ht="15" x14ac:dyDescent="0.2">
      <c r="A3" s="16" t="s">
        <v>173</v>
      </c>
      <c r="B3" s="24">
        <v>90</v>
      </c>
      <c r="C3" s="1"/>
      <c r="D3" s="1"/>
      <c r="E3" s="1"/>
      <c r="F3" s="1"/>
      <c r="G3" s="1"/>
    </row>
    <row r="4" spans="1:7" ht="15" x14ac:dyDescent="0.2">
      <c r="A4" s="17" t="s">
        <v>175</v>
      </c>
      <c r="B4" s="25">
        <v>110</v>
      </c>
      <c r="C4" s="1"/>
      <c r="D4" s="1"/>
      <c r="E4" s="1"/>
      <c r="F4" s="1"/>
      <c r="G4" s="1"/>
    </row>
    <row r="5" spans="1:7" ht="15" x14ac:dyDescent="0.2">
      <c r="A5" s="18" t="s">
        <v>42</v>
      </c>
      <c r="B5" s="26">
        <v>95</v>
      </c>
      <c r="C5" s="1"/>
      <c r="D5" s="1"/>
      <c r="E5" s="1"/>
      <c r="F5" s="1"/>
      <c r="G5" s="1"/>
    </row>
    <row r="6" spans="1:7" ht="15" x14ac:dyDescent="0.2">
      <c r="A6" s="19" t="s">
        <v>49</v>
      </c>
      <c r="B6" s="27">
        <v>115</v>
      </c>
      <c r="C6" s="1"/>
      <c r="D6" s="1"/>
      <c r="E6" s="1"/>
      <c r="F6" s="1"/>
      <c r="G6" s="1"/>
    </row>
    <row r="7" spans="1:7" ht="15" x14ac:dyDescent="0.2">
      <c r="A7" s="20" t="s">
        <v>176</v>
      </c>
      <c r="B7" s="38">
        <v>200</v>
      </c>
      <c r="C7" s="1"/>
      <c r="D7" s="1"/>
      <c r="E7" s="1"/>
      <c r="F7" s="1"/>
      <c r="G7" s="1"/>
    </row>
    <row r="8" spans="1:7" ht="15.75" thickBot="1" x14ac:dyDescent="0.25">
      <c r="A8" s="21" t="s">
        <v>23</v>
      </c>
      <c r="B8" s="39">
        <v>80</v>
      </c>
      <c r="C8" s="1"/>
      <c r="D8" s="1"/>
      <c r="E8" s="1"/>
      <c r="F8" s="1"/>
      <c r="G8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D569C-64B1-4CF6-A45A-8A0DA4759E2F}">
  <sheetPr codeName="Sheet2"/>
  <dimension ref="A1:L22"/>
  <sheetViews>
    <sheetView zoomScaleNormal="100" workbookViewId="0">
      <pane ySplit="1" topLeftCell="A2" activePane="bottomLeft" state="frozen"/>
      <selection pane="bottomLeft" activeCell="B27" sqref="B27"/>
    </sheetView>
  </sheetViews>
  <sheetFormatPr defaultRowHeight="11.25" x14ac:dyDescent="0.15"/>
  <cols>
    <col min="1" max="1" width="48.42578125" style="3" customWidth="1"/>
    <col min="2" max="2" width="8.85546875" style="2" customWidth="1"/>
    <col min="3" max="3" width="8.85546875" style="45" customWidth="1"/>
    <col min="4" max="4" width="48.42578125" style="3" customWidth="1"/>
    <col min="5" max="5" width="8.85546875" style="2" customWidth="1"/>
    <col min="6" max="6" width="8.85546875" style="45" customWidth="1"/>
    <col min="7" max="7" width="48.42578125" style="3" customWidth="1"/>
    <col min="8" max="8" width="8.85546875" style="2" customWidth="1"/>
    <col min="9" max="9" width="8.85546875" style="45" customWidth="1"/>
    <col min="10" max="10" width="48.42578125" style="3" customWidth="1"/>
    <col min="11" max="11" width="8.85546875" style="2" customWidth="1"/>
    <col min="12" max="12" width="8.85546875" style="45" customWidth="1"/>
    <col min="13" max="16384" width="9.140625" style="3"/>
  </cols>
  <sheetData>
    <row r="1" spans="1:12" s="13" customFormat="1" ht="15.75" thickBot="1" x14ac:dyDescent="0.3">
      <c r="A1" s="33" t="s">
        <v>177</v>
      </c>
      <c r="B1" s="34" t="s">
        <v>93</v>
      </c>
      <c r="C1" s="40" t="s">
        <v>94</v>
      </c>
      <c r="D1" s="33" t="s">
        <v>178</v>
      </c>
      <c r="E1" s="34" t="s">
        <v>93</v>
      </c>
      <c r="F1" s="40" t="s">
        <v>94</v>
      </c>
      <c r="G1" s="33" t="s">
        <v>179</v>
      </c>
      <c r="H1" s="34" t="s">
        <v>93</v>
      </c>
      <c r="I1" s="40" t="s">
        <v>94</v>
      </c>
      <c r="J1" s="33" t="s">
        <v>180</v>
      </c>
      <c r="K1" s="34" t="s">
        <v>93</v>
      </c>
      <c r="L1" s="40" t="s">
        <v>94</v>
      </c>
    </row>
    <row r="2" spans="1:12" x14ac:dyDescent="0.15">
      <c r="A2" s="30" t="s">
        <v>0</v>
      </c>
      <c r="B2" s="5"/>
      <c r="C2" s="41"/>
      <c r="D2" s="30" t="s">
        <v>0</v>
      </c>
      <c r="E2" s="5"/>
      <c r="F2" s="41"/>
      <c r="G2" s="30" t="s">
        <v>0</v>
      </c>
      <c r="H2" s="5"/>
      <c r="I2" s="41"/>
      <c r="J2" s="30" t="s">
        <v>0</v>
      </c>
      <c r="K2" s="5"/>
      <c r="L2" s="41"/>
    </row>
    <row r="3" spans="1:12" x14ac:dyDescent="0.15">
      <c r="A3" s="6" t="s">
        <v>95</v>
      </c>
      <c r="B3" s="7">
        <v>0.6</v>
      </c>
      <c r="C3" s="42">
        <v>120</v>
      </c>
      <c r="D3" s="6" t="s">
        <v>131</v>
      </c>
      <c r="E3" s="7">
        <v>0.6</v>
      </c>
      <c r="F3" s="42">
        <v>120</v>
      </c>
      <c r="G3" s="6" t="s">
        <v>103</v>
      </c>
      <c r="H3" s="7">
        <v>0.6</v>
      </c>
      <c r="I3" s="42">
        <v>120</v>
      </c>
      <c r="J3" s="6" t="s">
        <v>162</v>
      </c>
      <c r="K3" s="7">
        <v>0.6</v>
      </c>
      <c r="L3" s="42">
        <v>120</v>
      </c>
    </row>
    <row r="4" spans="1:12" x14ac:dyDescent="0.15">
      <c r="A4" s="6" t="s">
        <v>95</v>
      </c>
      <c r="B4" s="7">
        <v>0.7</v>
      </c>
      <c r="C4" s="42">
        <v>140</v>
      </c>
      <c r="D4" s="6"/>
      <c r="E4" s="8"/>
      <c r="F4" s="43"/>
      <c r="G4" s="6" t="s">
        <v>149</v>
      </c>
      <c r="H4" s="7">
        <v>0.7</v>
      </c>
      <c r="I4" s="42">
        <v>140</v>
      </c>
      <c r="J4" s="6"/>
      <c r="K4" s="8"/>
      <c r="L4" s="43"/>
    </row>
    <row r="5" spans="1:12" x14ac:dyDescent="0.15">
      <c r="A5" s="6" t="s">
        <v>96</v>
      </c>
      <c r="B5" s="7">
        <v>0.8</v>
      </c>
      <c r="C5" s="42">
        <v>160</v>
      </c>
      <c r="D5" s="29" t="s">
        <v>20</v>
      </c>
      <c r="E5" s="8"/>
      <c r="F5" s="43"/>
      <c r="G5" s="6"/>
      <c r="H5" s="8"/>
      <c r="I5" s="43"/>
      <c r="J5" s="29" t="s">
        <v>20</v>
      </c>
      <c r="K5" s="8"/>
      <c r="L5" s="43"/>
    </row>
    <row r="6" spans="1:12" x14ac:dyDescent="0.15">
      <c r="A6" s="6"/>
      <c r="B6" s="8"/>
      <c r="C6" s="43"/>
      <c r="D6" s="6" t="s">
        <v>96</v>
      </c>
      <c r="E6" s="7">
        <v>0.9</v>
      </c>
      <c r="F6" s="46">
        <v>99</v>
      </c>
      <c r="G6" s="29" t="s">
        <v>82</v>
      </c>
      <c r="H6" s="8"/>
      <c r="I6" s="43"/>
      <c r="J6" s="6" t="s">
        <v>135</v>
      </c>
      <c r="K6" s="7">
        <v>0.9</v>
      </c>
      <c r="L6" s="46">
        <v>99</v>
      </c>
    </row>
    <row r="7" spans="1:12" x14ac:dyDescent="0.15">
      <c r="A7" s="29" t="s">
        <v>83</v>
      </c>
      <c r="B7" s="8"/>
      <c r="C7" s="43"/>
      <c r="D7" s="6"/>
      <c r="E7" s="8"/>
      <c r="F7" s="43"/>
      <c r="G7" s="6" t="s">
        <v>97</v>
      </c>
      <c r="H7" s="7">
        <v>0.95</v>
      </c>
      <c r="I7" s="28">
        <v>90.25</v>
      </c>
      <c r="J7" s="6"/>
      <c r="K7" s="8"/>
      <c r="L7" s="43"/>
    </row>
    <row r="8" spans="1:12" x14ac:dyDescent="0.15">
      <c r="A8" s="6" t="s">
        <v>97</v>
      </c>
      <c r="B8" s="7">
        <v>0.9</v>
      </c>
      <c r="C8" s="28">
        <v>85.5</v>
      </c>
      <c r="D8" s="29" t="s">
        <v>84</v>
      </c>
      <c r="E8" s="8"/>
      <c r="F8" s="43"/>
      <c r="G8" s="6"/>
      <c r="H8" s="8"/>
      <c r="I8" s="43"/>
      <c r="J8" s="29" t="s">
        <v>23</v>
      </c>
      <c r="K8" s="8"/>
      <c r="L8" s="43"/>
    </row>
    <row r="9" spans="1:12" x14ac:dyDescent="0.15">
      <c r="A9" s="6"/>
      <c r="B9" s="8"/>
      <c r="C9" s="43"/>
      <c r="D9" s="6" t="s">
        <v>98</v>
      </c>
      <c r="E9" s="7">
        <v>0.6</v>
      </c>
      <c r="F9" s="46">
        <v>66</v>
      </c>
      <c r="G9" s="29" t="s">
        <v>85</v>
      </c>
      <c r="H9" s="8"/>
      <c r="I9" s="43"/>
      <c r="J9" s="6" t="s">
        <v>104</v>
      </c>
      <c r="K9" s="7">
        <v>0.6</v>
      </c>
      <c r="L9" s="47">
        <v>48</v>
      </c>
    </row>
    <row r="10" spans="1:12" x14ac:dyDescent="0.15">
      <c r="A10" s="29" t="s">
        <v>1</v>
      </c>
      <c r="B10" s="8"/>
      <c r="C10" s="43"/>
      <c r="D10" s="6" t="s">
        <v>99</v>
      </c>
      <c r="E10" s="7">
        <v>0.7</v>
      </c>
      <c r="F10" s="46">
        <v>77</v>
      </c>
      <c r="G10" s="6" t="s">
        <v>98</v>
      </c>
      <c r="H10" s="7">
        <v>0.6</v>
      </c>
      <c r="I10" s="28">
        <v>57</v>
      </c>
      <c r="J10" s="6"/>
      <c r="K10" s="8"/>
      <c r="L10" s="43"/>
    </row>
    <row r="11" spans="1:12" x14ac:dyDescent="0.15">
      <c r="A11" s="6" t="s">
        <v>98</v>
      </c>
      <c r="B11" s="7">
        <v>0.6</v>
      </c>
      <c r="C11" s="28">
        <v>57</v>
      </c>
      <c r="D11" s="6"/>
      <c r="E11" s="8"/>
      <c r="F11" s="43"/>
      <c r="G11" s="6" t="s">
        <v>99</v>
      </c>
      <c r="H11" s="7">
        <v>0.7</v>
      </c>
      <c r="I11" s="28">
        <v>66.5</v>
      </c>
      <c r="J11" s="6"/>
      <c r="K11" s="8"/>
      <c r="L11" s="43"/>
    </row>
    <row r="12" spans="1:12" x14ac:dyDescent="0.15">
      <c r="A12" s="6" t="s">
        <v>98</v>
      </c>
      <c r="B12" s="7">
        <v>0.7</v>
      </c>
      <c r="C12" s="28">
        <v>66.5</v>
      </c>
      <c r="D12" s="29" t="s">
        <v>21</v>
      </c>
      <c r="E12" s="8"/>
      <c r="F12" s="43"/>
      <c r="G12" s="6"/>
      <c r="H12" s="8"/>
      <c r="I12" s="43"/>
      <c r="J12" s="6"/>
      <c r="K12" s="8"/>
      <c r="L12" s="43"/>
    </row>
    <row r="13" spans="1:12" x14ac:dyDescent="0.15">
      <c r="A13" s="6" t="s">
        <v>98</v>
      </c>
      <c r="B13" s="7">
        <v>0.75</v>
      </c>
      <c r="C13" s="28">
        <v>71.25</v>
      </c>
      <c r="D13" s="6" t="s">
        <v>132</v>
      </c>
      <c r="E13" s="7">
        <v>0.6</v>
      </c>
      <c r="F13" s="46">
        <v>66</v>
      </c>
      <c r="G13" s="29" t="s">
        <v>2</v>
      </c>
      <c r="H13" s="8"/>
      <c r="I13" s="43"/>
      <c r="J13" s="6"/>
      <c r="K13" s="8"/>
      <c r="L13" s="43"/>
    </row>
    <row r="14" spans="1:12" x14ac:dyDescent="0.15">
      <c r="A14" s="6" t="s">
        <v>99</v>
      </c>
      <c r="B14" s="7">
        <v>0.8</v>
      </c>
      <c r="C14" s="28">
        <v>76</v>
      </c>
      <c r="D14" s="6" t="s">
        <v>133</v>
      </c>
      <c r="E14" s="7">
        <v>0.7</v>
      </c>
      <c r="F14" s="46">
        <v>77</v>
      </c>
      <c r="G14" s="6" t="s">
        <v>100</v>
      </c>
      <c r="H14" s="7">
        <v>0.6</v>
      </c>
      <c r="I14" s="28">
        <v>57</v>
      </c>
      <c r="J14" s="6"/>
      <c r="K14" s="8"/>
      <c r="L14" s="43"/>
    </row>
    <row r="15" spans="1:12" x14ac:dyDescent="0.15">
      <c r="A15" s="6"/>
      <c r="B15" s="8"/>
      <c r="C15" s="43"/>
      <c r="D15" s="6"/>
      <c r="E15" s="8"/>
      <c r="F15" s="43"/>
      <c r="G15" s="6" t="s">
        <v>150</v>
      </c>
      <c r="H15" s="7">
        <v>0.7</v>
      </c>
      <c r="I15" s="28">
        <v>66.5</v>
      </c>
      <c r="J15" s="6"/>
      <c r="K15" s="8"/>
      <c r="L15" s="43"/>
    </row>
    <row r="16" spans="1:12" x14ac:dyDescent="0.15">
      <c r="A16" s="29" t="s">
        <v>2</v>
      </c>
      <c r="B16" s="8"/>
      <c r="C16" s="43"/>
      <c r="D16" s="29" t="s">
        <v>22</v>
      </c>
      <c r="E16" s="8"/>
      <c r="F16" s="43"/>
      <c r="G16" s="6"/>
      <c r="H16" s="8"/>
      <c r="I16" s="43"/>
      <c r="J16" s="6"/>
      <c r="K16" s="8"/>
      <c r="L16" s="43"/>
    </row>
    <row r="17" spans="1:12" x14ac:dyDescent="0.15">
      <c r="A17" s="6" t="s">
        <v>100</v>
      </c>
      <c r="B17" s="7">
        <v>0.6</v>
      </c>
      <c r="C17" s="28">
        <v>57</v>
      </c>
      <c r="D17" s="6" t="s">
        <v>134</v>
      </c>
      <c r="E17" s="7">
        <v>0.75</v>
      </c>
      <c r="F17" s="47">
        <v>60</v>
      </c>
      <c r="G17" s="29" t="s">
        <v>3</v>
      </c>
      <c r="H17" s="8"/>
      <c r="I17" s="43"/>
      <c r="J17" s="6"/>
      <c r="K17" s="8"/>
      <c r="L17" s="43"/>
    </row>
    <row r="18" spans="1:12" x14ac:dyDescent="0.15">
      <c r="A18" s="6" t="s">
        <v>100</v>
      </c>
      <c r="B18" s="7">
        <v>0.7</v>
      </c>
      <c r="C18" s="28">
        <v>66.5</v>
      </c>
      <c r="D18" s="6"/>
      <c r="E18" s="8"/>
      <c r="F18" s="43"/>
      <c r="G18" s="6" t="s">
        <v>151</v>
      </c>
      <c r="H18" s="7">
        <v>0.75</v>
      </c>
      <c r="I18" s="49">
        <v>67.5</v>
      </c>
      <c r="J18" s="6"/>
      <c r="K18" s="8"/>
      <c r="L18" s="43"/>
    </row>
    <row r="19" spans="1:12" x14ac:dyDescent="0.15">
      <c r="A19" s="6" t="s">
        <v>101</v>
      </c>
      <c r="B19" s="7">
        <v>0.8</v>
      </c>
      <c r="C19" s="28">
        <v>76</v>
      </c>
      <c r="D19" s="6"/>
      <c r="E19" s="8"/>
      <c r="F19" s="43"/>
      <c r="G19" s="6"/>
      <c r="H19" s="8"/>
      <c r="I19" s="43"/>
      <c r="J19" s="6"/>
      <c r="K19" s="8"/>
      <c r="L19" s="43"/>
    </row>
    <row r="20" spans="1:12" x14ac:dyDescent="0.15">
      <c r="A20" s="6"/>
      <c r="B20" s="8"/>
      <c r="C20" s="43"/>
      <c r="D20" s="6"/>
      <c r="E20" s="8"/>
      <c r="F20" s="43"/>
      <c r="G20" s="6"/>
      <c r="H20" s="8"/>
      <c r="I20" s="43"/>
      <c r="J20" s="6"/>
      <c r="K20" s="8"/>
      <c r="L20" s="43"/>
    </row>
    <row r="21" spans="1:12" x14ac:dyDescent="0.15">
      <c r="A21" s="29" t="s">
        <v>3</v>
      </c>
      <c r="B21" s="8"/>
      <c r="C21" s="43"/>
      <c r="D21" s="6"/>
      <c r="E21" s="8"/>
      <c r="F21" s="43"/>
      <c r="G21" s="6"/>
      <c r="H21" s="8"/>
      <c r="I21" s="43"/>
      <c r="J21" s="6"/>
      <c r="K21" s="8"/>
      <c r="L21" s="43"/>
    </row>
    <row r="22" spans="1:12" ht="12" thickBot="1" x14ac:dyDescent="0.2">
      <c r="A22" s="9" t="s">
        <v>102</v>
      </c>
      <c r="B22" s="36">
        <v>0.75</v>
      </c>
      <c r="C22" s="44">
        <v>67.5</v>
      </c>
      <c r="D22" s="9"/>
      <c r="E22" s="10"/>
      <c r="F22" s="48"/>
      <c r="G22" s="9"/>
      <c r="H22" s="10"/>
      <c r="I22" s="48"/>
      <c r="J22" s="9"/>
      <c r="K22" s="10"/>
      <c r="L22" s="4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198C5-C842-4027-9EEA-EB9B956948B4}">
  <sheetPr codeName="Sheet3"/>
  <dimension ref="A1:L31"/>
  <sheetViews>
    <sheetView zoomScaleNormal="100" workbookViewId="0">
      <pane ySplit="1" topLeftCell="A2" activePane="bottomLeft" state="frozen"/>
      <selection pane="bottomLeft"/>
    </sheetView>
  </sheetViews>
  <sheetFormatPr defaultRowHeight="11.25" x14ac:dyDescent="0.15"/>
  <cols>
    <col min="1" max="1" width="48.42578125" style="3" customWidth="1"/>
    <col min="2" max="2" width="8.85546875" style="2" customWidth="1"/>
    <col min="3" max="3" width="8.85546875" style="45" customWidth="1"/>
    <col min="4" max="4" width="48.42578125" style="3" customWidth="1"/>
    <col min="5" max="5" width="8.85546875" style="2" customWidth="1"/>
    <col min="6" max="6" width="8.85546875" style="45" customWidth="1"/>
    <col min="7" max="7" width="48.42578125" style="3" customWidth="1"/>
    <col min="8" max="8" width="8.85546875" style="2" customWidth="1"/>
    <col min="9" max="9" width="8.85546875" style="45" customWidth="1"/>
    <col min="10" max="10" width="48.42578125" style="3" customWidth="1"/>
    <col min="11" max="11" width="8.85546875" style="2" customWidth="1"/>
    <col min="12" max="12" width="8.85546875" style="45" customWidth="1"/>
    <col min="13" max="16384" width="9.140625" style="3"/>
  </cols>
  <sheetData>
    <row r="1" spans="1:12" s="13" customFormat="1" ht="15.75" thickBot="1" x14ac:dyDescent="0.3">
      <c r="A1" s="33" t="s">
        <v>177</v>
      </c>
      <c r="B1" s="34" t="s">
        <v>93</v>
      </c>
      <c r="C1" s="40" t="s">
        <v>94</v>
      </c>
      <c r="D1" s="33" t="s">
        <v>178</v>
      </c>
      <c r="E1" s="34" t="s">
        <v>93</v>
      </c>
      <c r="F1" s="40" t="s">
        <v>94</v>
      </c>
      <c r="G1" s="33" t="s">
        <v>179</v>
      </c>
      <c r="H1" s="34" t="s">
        <v>93</v>
      </c>
      <c r="I1" s="40" t="s">
        <v>94</v>
      </c>
      <c r="J1" s="33" t="s">
        <v>180</v>
      </c>
      <c r="K1" s="34" t="s">
        <v>93</v>
      </c>
      <c r="L1" s="40" t="s">
        <v>94</v>
      </c>
    </row>
    <row r="2" spans="1:12" x14ac:dyDescent="0.15">
      <c r="A2" s="30" t="s">
        <v>0</v>
      </c>
      <c r="B2" s="5"/>
      <c r="C2" s="41"/>
      <c r="D2" s="30" t="s">
        <v>0</v>
      </c>
      <c r="E2" s="5"/>
      <c r="F2" s="41"/>
      <c r="G2" s="31" t="s">
        <v>34</v>
      </c>
      <c r="H2" s="5"/>
      <c r="I2" s="41"/>
      <c r="J2" s="30" t="s">
        <v>35</v>
      </c>
      <c r="K2" s="5"/>
      <c r="L2" s="41"/>
    </row>
    <row r="3" spans="1:12" x14ac:dyDescent="0.15">
      <c r="A3" s="6" t="s">
        <v>103</v>
      </c>
      <c r="B3" s="7">
        <v>0.6</v>
      </c>
      <c r="C3" s="42">
        <v>120</v>
      </c>
      <c r="D3" s="6" t="s">
        <v>105</v>
      </c>
      <c r="E3" s="7">
        <v>0.6</v>
      </c>
      <c r="F3" s="42">
        <v>120</v>
      </c>
      <c r="G3" s="11" t="s">
        <v>103</v>
      </c>
      <c r="H3" s="7">
        <v>0.6</v>
      </c>
      <c r="I3" s="52">
        <v>84</v>
      </c>
      <c r="J3" s="6" t="s">
        <v>36</v>
      </c>
      <c r="K3" s="8"/>
      <c r="L3" s="43"/>
    </row>
    <row r="4" spans="1:12" x14ac:dyDescent="0.15">
      <c r="A4" s="6" t="s">
        <v>103</v>
      </c>
      <c r="B4" s="7">
        <v>0.7</v>
      </c>
      <c r="C4" s="42">
        <v>140</v>
      </c>
      <c r="D4" s="6" t="s">
        <v>105</v>
      </c>
      <c r="E4" s="7">
        <v>0.7</v>
      </c>
      <c r="F4" s="42">
        <v>140</v>
      </c>
      <c r="G4" s="11" t="s">
        <v>103</v>
      </c>
      <c r="H4" s="7">
        <v>0.7</v>
      </c>
      <c r="I4" s="52">
        <v>98</v>
      </c>
      <c r="J4" s="6" t="s">
        <v>37</v>
      </c>
      <c r="K4" s="8"/>
      <c r="L4" s="43"/>
    </row>
    <row r="5" spans="1:12" x14ac:dyDescent="0.15">
      <c r="A5" s="6" t="s">
        <v>104</v>
      </c>
      <c r="B5" s="7">
        <v>0.8</v>
      </c>
      <c r="C5" s="42">
        <v>160</v>
      </c>
      <c r="D5" s="6" t="s">
        <v>135</v>
      </c>
      <c r="E5" s="7">
        <v>0.8</v>
      </c>
      <c r="F5" s="42">
        <v>160</v>
      </c>
      <c r="G5" s="11" t="s">
        <v>152</v>
      </c>
      <c r="H5" s="7">
        <v>0.8</v>
      </c>
      <c r="I5" s="52">
        <v>112</v>
      </c>
      <c r="J5" s="6"/>
      <c r="K5" s="8"/>
      <c r="L5" s="43"/>
    </row>
    <row r="6" spans="1:12" x14ac:dyDescent="0.15">
      <c r="A6" s="6"/>
      <c r="B6" s="8"/>
      <c r="C6" s="43"/>
      <c r="D6" s="6"/>
      <c r="E6" s="8"/>
      <c r="F6" s="43"/>
      <c r="G6" s="11" t="s">
        <v>174</v>
      </c>
      <c r="H6" s="7">
        <v>0.9</v>
      </c>
      <c r="I6" s="52">
        <v>126</v>
      </c>
      <c r="J6" s="29" t="s">
        <v>38</v>
      </c>
      <c r="K6" s="8"/>
      <c r="L6" s="43"/>
    </row>
    <row r="7" spans="1:12" x14ac:dyDescent="0.15">
      <c r="A7" s="29" t="s">
        <v>24</v>
      </c>
      <c r="B7" s="8"/>
      <c r="C7" s="43"/>
      <c r="D7" s="29" t="s">
        <v>1</v>
      </c>
      <c r="E7" s="8"/>
      <c r="F7" s="43"/>
      <c r="G7" s="11"/>
      <c r="H7" s="8"/>
      <c r="I7" s="43"/>
      <c r="J7" s="6" t="s">
        <v>163</v>
      </c>
      <c r="K7" s="7">
        <v>0.6</v>
      </c>
      <c r="L7" s="49">
        <v>54</v>
      </c>
    </row>
    <row r="8" spans="1:12" x14ac:dyDescent="0.15">
      <c r="A8" s="6" t="s">
        <v>105</v>
      </c>
      <c r="B8" s="7">
        <v>0.6</v>
      </c>
      <c r="C8" s="28">
        <v>57</v>
      </c>
      <c r="D8" s="6" t="s">
        <v>105</v>
      </c>
      <c r="E8" s="7">
        <v>0.6</v>
      </c>
      <c r="F8" s="28">
        <v>57</v>
      </c>
      <c r="G8" s="32" t="s">
        <v>24</v>
      </c>
      <c r="H8" s="8"/>
      <c r="I8" s="43"/>
      <c r="J8" s="6" t="s">
        <v>164</v>
      </c>
      <c r="K8" s="7">
        <v>0.7</v>
      </c>
      <c r="L8" s="49">
        <v>62.999999999999993</v>
      </c>
    </row>
    <row r="9" spans="1:12" x14ac:dyDescent="0.15">
      <c r="A9" s="6" t="s">
        <v>105</v>
      </c>
      <c r="B9" s="7">
        <v>0.7</v>
      </c>
      <c r="C9" s="28">
        <v>66.5</v>
      </c>
      <c r="D9" s="6" t="s">
        <v>105</v>
      </c>
      <c r="E9" s="7">
        <v>0.7</v>
      </c>
      <c r="F9" s="28">
        <v>66.5</v>
      </c>
      <c r="G9" s="11" t="s">
        <v>95</v>
      </c>
      <c r="H9" s="7">
        <v>0.6</v>
      </c>
      <c r="I9" s="28">
        <v>57</v>
      </c>
      <c r="J9" s="6"/>
      <c r="K9" s="8"/>
      <c r="L9" s="43"/>
    </row>
    <row r="10" spans="1:12" x14ac:dyDescent="0.15">
      <c r="A10" s="6" t="s">
        <v>106</v>
      </c>
      <c r="B10" s="7">
        <v>0.8</v>
      </c>
      <c r="C10" s="28">
        <v>76</v>
      </c>
      <c r="D10" s="6" t="s">
        <v>113</v>
      </c>
      <c r="E10" s="7">
        <v>0.75</v>
      </c>
      <c r="F10" s="28">
        <v>71.25</v>
      </c>
      <c r="G10" s="11" t="s">
        <v>95</v>
      </c>
      <c r="H10" s="7">
        <v>0.7</v>
      </c>
      <c r="I10" s="28">
        <v>66.5</v>
      </c>
      <c r="J10" s="29" t="s">
        <v>39</v>
      </c>
      <c r="K10" s="8"/>
      <c r="L10" s="43"/>
    </row>
    <row r="11" spans="1:12" x14ac:dyDescent="0.15">
      <c r="A11" s="6"/>
      <c r="B11" s="8"/>
      <c r="C11" s="43"/>
      <c r="D11" s="6" t="s">
        <v>95</v>
      </c>
      <c r="E11" s="7">
        <v>0.65</v>
      </c>
      <c r="F11" s="28">
        <v>61.75</v>
      </c>
      <c r="G11" s="11" t="s">
        <v>95</v>
      </c>
      <c r="H11" s="7">
        <v>0.8</v>
      </c>
      <c r="I11" s="28">
        <v>76</v>
      </c>
      <c r="J11" s="6" t="s">
        <v>165</v>
      </c>
      <c r="K11" s="7">
        <v>0.6</v>
      </c>
      <c r="L11" s="50">
        <v>69</v>
      </c>
    </row>
    <row r="12" spans="1:12" x14ac:dyDescent="0.15">
      <c r="A12" s="29" t="s">
        <v>25</v>
      </c>
      <c r="B12" s="8"/>
      <c r="C12" s="43"/>
      <c r="D12" s="6" t="s">
        <v>95</v>
      </c>
      <c r="E12" s="7">
        <v>0.7</v>
      </c>
      <c r="F12" s="28">
        <v>66.5</v>
      </c>
      <c r="G12" s="11" t="s">
        <v>113</v>
      </c>
      <c r="H12" s="7">
        <v>0.85</v>
      </c>
      <c r="I12" s="28">
        <v>80.75</v>
      </c>
      <c r="J12" s="6" t="s">
        <v>166</v>
      </c>
      <c r="K12" s="7">
        <v>0.7</v>
      </c>
      <c r="L12" s="50">
        <v>80.5</v>
      </c>
    </row>
    <row r="13" spans="1:12" x14ac:dyDescent="0.15">
      <c r="A13" s="6" t="s">
        <v>107</v>
      </c>
      <c r="B13" s="7">
        <v>0.6</v>
      </c>
      <c r="C13" s="50">
        <v>69</v>
      </c>
      <c r="D13" s="6"/>
      <c r="E13" s="8"/>
      <c r="F13" s="43"/>
      <c r="G13" s="11" t="s">
        <v>124</v>
      </c>
      <c r="H13" s="7">
        <v>0.8</v>
      </c>
      <c r="I13" s="28">
        <v>76</v>
      </c>
      <c r="J13" s="6"/>
      <c r="K13" s="8"/>
      <c r="L13" s="43"/>
    </row>
    <row r="14" spans="1:12" x14ac:dyDescent="0.15">
      <c r="A14" s="6" t="s">
        <v>107</v>
      </c>
      <c r="B14" s="7">
        <v>0.7</v>
      </c>
      <c r="C14" s="50">
        <v>80.5</v>
      </c>
      <c r="D14" s="29" t="s">
        <v>30</v>
      </c>
      <c r="E14" s="8"/>
      <c r="F14" s="43"/>
      <c r="G14" s="11"/>
      <c r="H14" s="8"/>
      <c r="I14" s="43"/>
      <c r="J14" s="29" t="s">
        <v>83</v>
      </c>
      <c r="K14" s="8"/>
      <c r="L14" s="43"/>
    </row>
    <row r="15" spans="1:12" x14ac:dyDescent="0.15">
      <c r="A15" s="6" t="s">
        <v>108</v>
      </c>
      <c r="B15" s="7">
        <v>0.8</v>
      </c>
      <c r="C15" s="50">
        <v>92</v>
      </c>
      <c r="D15" s="6" t="s">
        <v>136</v>
      </c>
      <c r="E15" s="7">
        <v>0.6</v>
      </c>
      <c r="F15" s="50">
        <v>69</v>
      </c>
      <c r="G15" s="32" t="s">
        <v>25</v>
      </c>
      <c r="H15" s="8"/>
      <c r="I15" s="43"/>
      <c r="J15" s="6" t="s">
        <v>104</v>
      </c>
      <c r="K15" s="7">
        <v>0.9</v>
      </c>
      <c r="L15" s="28">
        <v>85.5</v>
      </c>
    </row>
    <row r="16" spans="1:12" x14ac:dyDescent="0.15">
      <c r="A16" s="6" t="s">
        <v>109</v>
      </c>
      <c r="B16" s="7">
        <v>0.75</v>
      </c>
      <c r="C16" s="50">
        <v>86.25</v>
      </c>
      <c r="D16" s="6" t="s">
        <v>136</v>
      </c>
      <c r="E16" s="7">
        <v>0.7</v>
      </c>
      <c r="F16" s="50">
        <v>80.5</v>
      </c>
      <c r="G16" s="11" t="s">
        <v>108</v>
      </c>
      <c r="H16" s="7">
        <v>0.6</v>
      </c>
      <c r="I16" s="50">
        <v>69</v>
      </c>
      <c r="J16" s="6"/>
      <c r="K16" s="8"/>
      <c r="L16" s="43"/>
    </row>
    <row r="17" spans="1:12" x14ac:dyDescent="0.15">
      <c r="A17" s="6"/>
      <c r="B17" s="8"/>
      <c r="C17" s="43"/>
      <c r="D17" s="6" t="s">
        <v>137</v>
      </c>
      <c r="E17" s="7">
        <v>0.75</v>
      </c>
      <c r="F17" s="50">
        <v>86.25</v>
      </c>
      <c r="G17" s="11" t="s">
        <v>108</v>
      </c>
      <c r="H17" s="7">
        <v>0.7</v>
      </c>
      <c r="I17" s="50">
        <v>80.5</v>
      </c>
      <c r="J17" s="29" t="s">
        <v>0</v>
      </c>
      <c r="K17" s="8"/>
      <c r="L17" s="43"/>
    </row>
    <row r="18" spans="1:12" x14ac:dyDescent="0.15">
      <c r="A18" s="29" t="s">
        <v>26</v>
      </c>
      <c r="B18" s="8"/>
      <c r="C18" s="43"/>
      <c r="D18" s="6" t="s">
        <v>138</v>
      </c>
      <c r="E18" s="7">
        <v>0.7</v>
      </c>
      <c r="F18" s="50">
        <v>80.5</v>
      </c>
      <c r="G18" s="11" t="s">
        <v>153</v>
      </c>
      <c r="H18" s="7">
        <v>0.8</v>
      </c>
      <c r="I18" s="50">
        <v>92</v>
      </c>
      <c r="J18" s="6" t="s">
        <v>105</v>
      </c>
      <c r="K18" s="7">
        <v>0.6</v>
      </c>
      <c r="L18" s="42">
        <v>120</v>
      </c>
    </row>
    <row r="19" spans="1:12" x14ac:dyDescent="0.15">
      <c r="A19" s="6" t="s">
        <v>105</v>
      </c>
      <c r="B19" s="7">
        <v>0.6</v>
      </c>
      <c r="C19" s="47">
        <v>48</v>
      </c>
      <c r="D19" s="6"/>
      <c r="E19" s="8"/>
      <c r="F19" s="43"/>
      <c r="G19" s="11"/>
      <c r="H19" s="8"/>
      <c r="I19" s="43"/>
      <c r="J19" s="6" t="s">
        <v>105</v>
      </c>
      <c r="K19" s="7">
        <v>0.7</v>
      </c>
      <c r="L19" s="42">
        <v>140</v>
      </c>
    </row>
    <row r="20" spans="1:12" x14ac:dyDescent="0.15">
      <c r="A20" s="6" t="s">
        <v>105</v>
      </c>
      <c r="B20" s="7">
        <v>0.7</v>
      </c>
      <c r="C20" s="47">
        <v>56</v>
      </c>
      <c r="D20" s="29" t="s">
        <v>31</v>
      </c>
      <c r="E20" s="8"/>
      <c r="F20" s="43"/>
      <c r="G20" s="32" t="s">
        <v>86</v>
      </c>
      <c r="H20" s="8"/>
      <c r="I20" s="43"/>
      <c r="J20" s="6" t="s">
        <v>105</v>
      </c>
      <c r="K20" s="7">
        <v>0.8</v>
      </c>
      <c r="L20" s="42">
        <v>160</v>
      </c>
    </row>
    <row r="21" spans="1:12" x14ac:dyDescent="0.15">
      <c r="A21" s="6" t="s">
        <v>98</v>
      </c>
      <c r="B21" s="7">
        <v>0.75</v>
      </c>
      <c r="C21" s="47">
        <v>60</v>
      </c>
      <c r="D21" s="6" t="s">
        <v>103</v>
      </c>
      <c r="E21" s="7">
        <v>0.8</v>
      </c>
      <c r="F21" s="51">
        <v>160</v>
      </c>
      <c r="G21" s="11" t="s">
        <v>105</v>
      </c>
      <c r="H21" s="7">
        <v>0.8</v>
      </c>
      <c r="I21" s="46">
        <v>88</v>
      </c>
      <c r="J21" s="6" t="s">
        <v>95</v>
      </c>
      <c r="K21" s="7">
        <v>0.85</v>
      </c>
      <c r="L21" s="42">
        <v>170</v>
      </c>
    </row>
    <row r="22" spans="1:12" x14ac:dyDescent="0.15">
      <c r="A22" s="6" t="s">
        <v>105</v>
      </c>
      <c r="B22" s="7">
        <v>0.6</v>
      </c>
      <c r="C22" s="47">
        <v>48</v>
      </c>
      <c r="D22" s="6" t="s">
        <v>118</v>
      </c>
      <c r="E22" s="7">
        <v>0.85</v>
      </c>
      <c r="F22" s="51">
        <v>170</v>
      </c>
      <c r="G22" s="11" t="s">
        <v>118</v>
      </c>
      <c r="H22" s="7">
        <v>0.9</v>
      </c>
      <c r="I22" s="46">
        <v>99</v>
      </c>
      <c r="J22" s="6" t="s">
        <v>105</v>
      </c>
      <c r="K22" s="7">
        <v>0.8</v>
      </c>
      <c r="L22" s="42">
        <v>160</v>
      </c>
    </row>
    <row r="23" spans="1:12" x14ac:dyDescent="0.15">
      <c r="A23" s="6" t="s">
        <v>110</v>
      </c>
      <c r="B23" s="7">
        <v>0.7</v>
      </c>
      <c r="C23" s="47">
        <v>56</v>
      </c>
      <c r="D23" s="6"/>
      <c r="E23" s="8"/>
      <c r="F23" s="43"/>
      <c r="G23" s="11"/>
      <c r="H23" s="8"/>
      <c r="I23" s="43"/>
      <c r="J23" s="6" t="s">
        <v>113</v>
      </c>
      <c r="K23" s="7">
        <v>0.85</v>
      </c>
      <c r="L23" s="42">
        <v>170</v>
      </c>
    </row>
    <row r="24" spans="1:12" x14ac:dyDescent="0.15">
      <c r="A24" s="6"/>
      <c r="B24" s="8"/>
      <c r="C24" s="43"/>
      <c r="D24" s="29" t="s">
        <v>27</v>
      </c>
      <c r="E24" s="8"/>
      <c r="F24" s="43"/>
      <c r="G24" s="11"/>
      <c r="H24" s="8"/>
      <c r="I24" s="43"/>
      <c r="J24" s="6"/>
      <c r="K24" s="8"/>
      <c r="L24" s="43"/>
    </row>
    <row r="25" spans="1:12" x14ac:dyDescent="0.15">
      <c r="A25" s="29" t="s">
        <v>83</v>
      </c>
      <c r="B25" s="8"/>
      <c r="C25" s="43"/>
      <c r="D25" s="6" t="s">
        <v>32</v>
      </c>
      <c r="E25" s="8"/>
      <c r="F25" s="43"/>
      <c r="G25" s="11"/>
      <c r="H25" s="8"/>
      <c r="I25" s="43"/>
      <c r="J25" s="29" t="s">
        <v>27</v>
      </c>
      <c r="K25" s="8"/>
      <c r="L25" s="43"/>
    </row>
    <row r="26" spans="1:12" x14ac:dyDescent="0.15">
      <c r="A26" s="6" t="s">
        <v>111</v>
      </c>
      <c r="B26" s="7">
        <v>0.8</v>
      </c>
      <c r="C26" s="28">
        <v>76</v>
      </c>
      <c r="D26" s="6" t="s">
        <v>33</v>
      </c>
      <c r="E26" s="8"/>
      <c r="F26" s="43"/>
      <c r="G26" s="11"/>
      <c r="H26" s="8"/>
      <c r="I26" s="43"/>
      <c r="J26" s="6" t="s">
        <v>40</v>
      </c>
      <c r="K26" s="8"/>
      <c r="L26" s="43"/>
    </row>
    <row r="27" spans="1:12" x14ac:dyDescent="0.15">
      <c r="A27" s="6"/>
      <c r="B27" s="8"/>
      <c r="C27" s="43"/>
      <c r="D27" s="6"/>
      <c r="E27" s="8"/>
      <c r="F27" s="43"/>
      <c r="G27" s="11"/>
      <c r="H27" s="8"/>
      <c r="I27" s="43"/>
      <c r="J27" s="6" t="s">
        <v>41</v>
      </c>
      <c r="K27" s="8"/>
      <c r="L27" s="43"/>
    </row>
    <row r="28" spans="1:12" x14ac:dyDescent="0.15">
      <c r="A28" s="29" t="s">
        <v>27</v>
      </c>
      <c r="B28" s="8"/>
      <c r="C28" s="43"/>
      <c r="D28" s="6"/>
      <c r="E28" s="8"/>
      <c r="F28" s="43"/>
      <c r="G28" s="11"/>
      <c r="H28" s="8"/>
      <c r="I28" s="43"/>
      <c r="J28" s="6"/>
      <c r="K28" s="8"/>
      <c r="L28" s="43"/>
    </row>
    <row r="29" spans="1:12" x14ac:dyDescent="0.15">
      <c r="A29" s="6" t="s">
        <v>28</v>
      </c>
      <c r="B29" s="8"/>
      <c r="C29" s="43"/>
      <c r="D29" s="6"/>
      <c r="E29" s="8"/>
      <c r="F29" s="43"/>
      <c r="G29" s="11"/>
      <c r="H29" s="8"/>
      <c r="I29" s="43"/>
      <c r="J29" s="6"/>
      <c r="K29" s="8"/>
      <c r="L29" s="43"/>
    </row>
    <row r="30" spans="1:12" x14ac:dyDescent="0.15">
      <c r="A30" s="6"/>
      <c r="B30" s="8"/>
      <c r="C30" s="43"/>
      <c r="D30" s="6"/>
      <c r="E30" s="8"/>
      <c r="F30" s="43"/>
      <c r="G30" s="11"/>
      <c r="H30" s="8"/>
      <c r="I30" s="43"/>
      <c r="J30" s="6"/>
      <c r="K30" s="8"/>
      <c r="L30" s="43"/>
    </row>
    <row r="31" spans="1:12" ht="12" thickBot="1" x14ac:dyDescent="0.2">
      <c r="A31" s="9" t="s">
        <v>29</v>
      </c>
      <c r="B31" s="10"/>
      <c r="C31" s="48"/>
      <c r="D31" s="9"/>
      <c r="E31" s="10"/>
      <c r="F31" s="48"/>
      <c r="G31" s="12"/>
      <c r="H31" s="10"/>
      <c r="I31" s="48"/>
      <c r="J31" s="9"/>
      <c r="K31" s="10"/>
      <c r="L31" s="4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EDBEF-D09D-48D4-BE62-25144C8D3756}">
  <sheetPr codeName="Sheet4"/>
  <dimension ref="A1:L43"/>
  <sheetViews>
    <sheetView zoomScaleNormal="100" workbookViewId="0">
      <pane ySplit="1" topLeftCell="A2" activePane="bottomLeft" state="frozen"/>
      <selection pane="bottomLeft"/>
    </sheetView>
  </sheetViews>
  <sheetFormatPr defaultRowHeight="11.25" x14ac:dyDescent="0.15"/>
  <cols>
    <col min="1" max="1" width="48.42578125" style="3" customWidth="1"/>
    <col min="2" max="2" width="8.85546875" style="2" customWidth="1"/>
    <col min="3" max="3" width="8.85546875" style="45" customWidth="1"/>
    <col min="4" max="4" width="48.42578125" style="3" customWidth="1"/>
    <col min="5" max="5" width="8.85546875" style="2" customWidth="1"/>
    <col min="6" max="6" width="8.85546875" style="45" customWidth="1"/>
    <col min="7" max="7" width="48.42578125" style="3" customWidth="1"/>
    <col min="8" max="8" width="8.85546875" style="2" customWidth="1"/>
    <col min="9" max="9" width="8.85546875" style="45" customWidth="1"/>
    <col min="10" max="10" width="48.42578125" style="3" customWidth="1"/>
    <col min="11" max="11" width="8.85546875" style="2" customWidth="1"/>
    <col min="12" max="12" width="8.85546875" style="45" customWidth="1"/>
    <col min="13" max="16384" width="9.140625" style="3"/>
  </cols>
  <sheetData>
    <row r="1" spans="1:12" s="13" customFormat="1" ht="15.75" thickBot="1" x14ac:dyDescent="0.3">
      <c r="A1" s="33" t="s">
        <v>177</v>
      </c>
      <c r="B1" s="34" t="s">
        <v>93</v>
      </c>
      <c r="C1" s="40" t="s">
        <v>94</v>
      </c>
      <c r="D1" s="33" t="s">
        <v>178</v>
      </c>
      <c r="E1" s="34" t="s">
        <v>93</v>
      </c>
      <c r="F1" s="40" t="s">
        <v>94</v>
      </c>
      <c r="G1" s="33" t="s">
        <v>179</v>
      </c>
      <c r="H1" s="34" t="s">
        <v>93</v>
      </c>
      <c r="I1" s="40" t="s">
        <v>94</v>
      </c>
      <c r="J1" s="33" t="s">
        <v>180</v>
      </c>
      <c r="K1" s="34" t="s">
        <v>93</v>
      </c>
      <c r="L1" s="40" t="s">
        <v>94</v>
      </c>
    </row>
    <row r="2" spans="1:12" x14ac:dyDescent="0.15">
      <c r="A2" s="30" t="s">
        <v>0</v>
      </c>
      <c r="B2" s="5"/>
      <c r="C2" s="41"/>
      <c r="D2" s="30" t="s">
        <v>1</v>
      </c>
      <c r="E2" s="5"/>
      <c r="F2" s="41"/>
      <c r="G2" s="30" t="s">
        <v>0</v>
      </c>
      <c r="H2" s="5"/>
      <c r="I2" s="41"/>
      <c r="J2" s="30" t="s">
        <v>0</v>
      </c>
      <c r="K2" s="5"/>
      <c r="L2" s="41"/>
    </row>
    <row r="3" spans="1:12" x14ac:dyDescent="0.15">
      <c r="A3" s="6" t="s">
        <v>95</v>
      </c>
      <c r="B3" s="7">
        <v>0.6</v>
      </c>
      <c r="C3" s="42">
        <v>120</v>
      </c>
      <c r="D3" s="6" t="s">
        <v>95</v>
      </c>
      <c r="E3" s="7">
        <v>0.6</v>
      </c>
      <c r="F3" s="28">
        <v>57</v>
      </c>
      <c r="G3" s="6" t="s">
        <v>95</v>
      </c>
      <c r="H3" s="7">
        <v>0.6</v>
      </c>
      <c r="I3" s="42">
        <v>120</v>
      </c>
      <c r="J3" s="6" t="s">
        <v>95</v>
      </c>
      <c r="K3" s="7">
        <v>0.6</v>
      </c>
      <c r="L3" s="42">
        <v>120</v>
      </c>
    </row>
    <row r="4" spans="1:12" x14ac:dyDescent="0.15">
      <c r="A4" s="6" t="s">
        <v>112</v>
      </c>
      <c r="B4" s="7">
        <v>0.7</v>
      </c>
      <c r="C4" s="42">
        <v>140</v>
      </c>
      <c r="D4" s="6" t="s">
        <v>95</v>
      </c>
      <c r="E4" s="7">
        <v>0.7</v>
      </c>
      <c r="F4" s="28">
        <v>66.5</v>
      </c>
      <c r="G4" s="6" t="s">
        <v>95</v>
      </c>
      <c r="H4" s="7">
        <v>0.7</v>
      </c>
      <c r="I4" s="42">
        <v>140</v>
      </c>
      <c r="J4" s="6" t="s">
        <v>95</v>
      </c>
      <c r="K4" s="7">
        <v>0.7</v>
      </c>
      <c r="L4" s="42">
        <v>140</v>
      </c>
    </row>
    <row r="5" spans="1:12" x14ac:dyDescent="0.15">
      <c r="A5" s="6" t="s">
        <v>106</v>
      </c>
      <c r="B5" s="7">
        <v>0.8</v>
      </c>
      <c r="C5" s="42">
        <v>160</v>
      </c>
      <c r="D5" s="6" t="s">
        <v>98</v>
      </c>
      <c r="E5" s="7">
        <v>0.75</v>
      </c>
      <c r="F5" s="28">
        <v>71.25</v>
      </c>
      <c r="G5" s="6" t="s">
        <v>95</v>
      </c>
      <c r="H5" s="7">
        <v>0.8</v>
      </c>
      <c r="I5" s="42">
        <v>160</v>
      </c>
      <c r="J5" s="6" t="s">
        <v>95</v>
      </c>
      <c r="K5" s="7">
        <v>0.8</v>
      </c>
      <c r="L5" s="42">
        <v>160</v>
      </c>
    </row>
    <row r="6" spans="1:12" x14ac:dyDescent="0.15">
      <c r="A6" s="6" t="s">
        <v>113</v>
      </c>
      <c r="B6" s="7">
        <v>0.85</v>
      </c>
      <c r="C6" s="42">
        <v>170</v>
      </c>
      <c r="D6" s="6" t="s">
        <v>95</v>
      </c>
      <c r="E6" s="7">
        <v>0.6</v>
      </c>
      <c r="F6" s="28">
        <v>57</v>
      </c>
      <c r="G6" s="6" t="s">
        <v>95</v>
      </c>
      <c r="H6" s="7">
        <v>0.85</v>
      </c>
      <c r="I6" s="42">
        <v>170</v>
      </c>
      <c r="J6" s="6" t="s">
        <v>141</v>
      </c>
      <c r="K6" s="7">
        <v>0.9</v>
      </c>
      <c r="L6" s="42">
        <v>180</v>
      </c>
    </row>
    <row r="7" spans="1:12" x14ac:dyDescent="0.15">
      <c r="A7" s="6"/>
      <c r="B7" s="8"/>
      <c r="C7" s="43"/>
      <c r="D7" s="6" t="s">
        <v>113</v>
      </c>
      <c r="E7" s="7">
        <v>0.65</v>
      </c>
      <c r="F7" s="28">
        <v>61.75</v>
      </c>
      <c r="G7" s="6" t="s">
        <v>95</v>
      </c>
      <c r="H7" s="7">
        <v>0.9</v>
      </c>
      <c r="I7" s="42">
        <v>180</v>
      </c>
      <c r="J7" s="6"/>
      <c r="K7" s="8"/>
      <c r="L7" s="43"/>
    </row>
    <row r="8" spans="1:12" x14ac:dyDescent="0.15">
      <c r="A8" s="29" t="s">
        <v>42</v>
      </c>
      <c r="B8" s="8"/>
      <c r="C8" s="43"/>
      <c r="D8" s="6" t="s">
        <v>113</v>
      </c>
      <c r="E8" s="7">
        <v>0.7</v>
      </c>
      <c r="F8" s="28">
        <v>66.5</v>
      </c>
      <c r="G8" s="6" t="s">
        <v>95</v>
      </c>
      <c r="H8" s="7">
        <v>0.85</v>
      </c>
      <c r="I8" s="42">
        <v>170</v>
      </c>
      <c r="J8" s="29" t="s">
        <v>1</v>
      </c>
      <c r="K8" s="8"/>
      <c r="L8" s="43"/>
    </row>
    <row r="9" spans="1:12" x14ac:dyDescent="0.15">
      <c r="A9" s="6" t="s">
        <v>114</v>
      </c>
      <c r="B9" s="7">
        <v>0.6</v>
      </c>
      <c r="C9" s="28">
        <v>57</v>
      </c>
      <c r="D9" s="6"/>
      <c r="E9" s="8"/>
      <c r="F9" s="43"/>
      <c r="G9" s="6" t="s">
        <v>113</v>
      </c>
      <c r="H9" s="7">
        <v>0.9</v>
      </c>
      <c r="I9" s="42">
        <v>180</v>
      </c>
      <c r="J9" s="6" t="s">
        <v>95</v>
      </c>
      <c r="K9" s="7">
        <v>0.6</v>
      </c>
      <c r="L9" s="28">
        <v>57</v>
      </c>
    </row>
    <row r="10" spans="1:12" x14ac:dyDescent="0.15">
      <c r="A10" s="6" t="s">
        <v>95</v>
      </c>
      <c r="B10" s="7">
        <v>0.7</v>
      </c>
      <c r="C10" s="28">
        <v>66.5</v>
      </c>
      <c r="D10" s="29" t="s">
        <v>30</v>
      </c>
      <c r="E10" s="8"/>
      <c r="F10" s="43"/>
      <c r="G10" s="6"/>
      <c r="H10" s="8"/>
      <c r="I10" s="43"/>
      <c r="J10" s="6" t="s">
        <v>95</v>
      </c>
      <c r="K10" s="7">
        <v>0.65</v>
      </c>
      <c r="L10" s="28">
        <v>61.75</v>
      </c>
    </row>
    <row r="11" spans="1:12" x14ac:dyDescent="0.15">
      <c r="A11" s="6" t="s">
        <v>95</v>
      </c>
      <c r="B11" s="7">
        <v>0.8</v>
      </c>
      <c r="C11" s="28">
        <v>76</v>
      </c>
      <c r="D11" s="6" t="s">
        <v>139</v>
      </c>
      <c r="E11" s="7">
        <v>0.6</v>
      </c>
      <c r="F11" s="50">
        <v>69</v>
      </c>
      <c r="G11" s="29" t="s">
        <v>42</v>
      </c>
      <c r="H11" s="8"/>
      <c r="I11" s="43"/>
      <c r="J11" s="6" t="s">
        <v>95</v>
      </c>
      <c r="K11" s="7">
        <v>0.7</v>
      </c>
      <c r="L11" s="28">
        <v>66.5</v>
      </c>
    </row>
    <row r="12" spans="1:12" x14ac:dyDescent="0.15">
      <c r="A12" s="6" t="s">
        <v>98</v>
      </c>
      <c r="B12" s="7">
        <v>0.85</v>
      </c>
      <c r="C12" s="28">
        <v>80.75</v>
      </c>
      <c r="D12" s="6" t="s">
        <v>139</v>
      </c>
      <c r="E12" s="7">
        <v>0.7</v>
      </c>
      <c r="F12" s="50">
        <v>80.5</v>
      </c>
      <c r="G12" s="6" t="s">
        <v>113</v>
      </c>
      <c r="H12" s="7">
        <v>0.6</v>
      </c>
      <c r="I12" s="28">
        <v>57</v>
      </c>
      <c r="J12" s="6" t="s">
        <v>98</v>
      </c>
      <c r="K12" s="7">
        <v>0.75</v>
      </c>
      <c r="L12" s="28">
        <v>71.25</v>
      </c>
    </row>
    <row r="13" spans="1:12" x14ac:dyDescent="0.15">
      <c r="A13" s="6" t="s">
        <v>113</v>
      </c>
      <c r="B13" s="7">
        <v>0.8</v>
      </c>
      <c r="C13" s="28">
        <v>76</v>
      </c>
      <c r="D13" s="6" t="s">
        <v>140</v>
      </c>
      <c r="E13" s="7">
        <v>0.75</v>
      </c>
      <c r="F13" s="50">
        <v>86.25</v>
      </c>
      <c r="G13" s="6" t="s">
        <v>113</v>
      </c>
      <c r="H13" s="7">
        <v>0.7</v>
      </c>
      <c r="I13" s="28">
        <v>66.5</v>
      </c>
      <c r="J13" s="6" t="s">
        <v>95</v>
      </c>
      <c r="K13" s="7">
        <v>0.6</v>
      </c>
      <c r="L13" s="28">
        <v>57</v>
      </c>
    </row>
    <row r="14" spans="1:12" x14ac:dyDescent="0.15">
      <c r="A14" s="6" t="s">
        <v>98</v>
      </c>
      <c r="B14" s="7">
        <v>0.85</v>
      </c>
      <c r="C14" s="28">
        <v>80.75</v>
      </c>
      <c r="D14" s="6" t="s">
        <v>139</v>
      </c>
      <c r="E14" s="7">
        <v>0.6</v>
      </c>
      <c r="F14" s="50">
        <v>69</v>
      </c>
      <c r="G14" s="6" t="s">
        <v>113</v>
      </c>
      <c r="H14" s="7">
        <v>0.8</v>
      </c>
      <c r="I14" s="28">
        <v>76</v>
      </c>
      <c r="J14" s="6" t="s">
        <v>95</v>
      </c>
      <c r="K14" s="7">
        <v>0.65</v>
      </c>
      <c r="L14" s="28">
        <v>61.75</v>
      </c>
    </row>
    <row r="15" spans="1:12" x14ac:dyDescent="0.15">
      <c r="A15" s="6"/>
      <c r="B15" s="8"/>
      <c r="C15" s="43"/>
      <c r="D15" s="6" t="s">
        <v>139</v>
      </c>
      <c r="E15" s="7">
        <v>0.7</v>
      </c>
      <c r="F15" s="50">
        <v>80.5</v>
      </c>
      <c r="G15" s="6" t="s">
        <v>128</v>
      </c>
      <c r="H15" s="7">
        <v>0.85</v>
      </c>
      <c r="I15" s="28">
        <v>80.75</v>
      </c>
      <c r="J15" s="6" t="s">
        <v>95</v>
      </c>
      <c r="K15" s="7">
        <v>0.7</v>
      </c>
      <c r="L15" s="28">
        <v>66.5</v>
      </c>
    </row>
    <row r="16" spans="1:12" x14ac:dyDescent="0.15">
      <c r="A16" s="29" t="s">
        <v>43</v>
      </c>
      <c r="B16" s="8"/>
      <c r="C16" s="43"/>
      <c r="D16" s="6"/>
      <c r="E16" s="8"/>
      <c r="F16" s="43"/>
      <c r="G16" s="6"/>
      <c r="H16" s="8"/>
      <c r="I16" s="43"/>
      <c r="J16" s="6"/>
      <c r="K16" s="8"/>
      <c r="L16" s="43"/>
    </row>
    <row r="17" spans="1:12" x14ac:dyDescent="0.15">
      <c r="A17" s="6" t="s">
        <v>115</v>
      </c>
      <c r="B17" s="7">
        <v>0.6</v>
      </c>
      <c r="C17" s="50">
        <v>69</v>
      </c>
      <c r="D17" s="29" t="s">
        <v>31</v>
      </c>
      <c r="E17" s="8"/>
      <c r="F17" s="43"/>
      <c r="G17" s="29" t="s">
        <v>49</v>
      </c>
      <c r="H17" s="8"/>
      <c r="I17" s="43"/>
      <c r="J17" s="29" t="s">
        <v>50</v>
      </c>
      <c r="K17" s="8"/>
      <c r="L17" s="43"/>
    </row>
    <row r="18" spans="1:12" x14ac:dyDescent="0.15">
      <c r="A18" s="6" t="s">
        <v>115</v>
      </c>
      <c r="B18" s="7">
        <v>0.7</v>
      </c>
      <c r="C18" s="50">
        <v>80.5</v>
      </c>
      <c r="D18" s="6" t="s">
        <v>103</v>
      </c>
      <c r="E18" s="7">
        <v>0.8</v>
      </c>
      <c r="F18" s="51">
        <v>160</v>
      </c>
      <c r="G18" s="6" t="s">
        <v>144</v>
      </c>
      <c r="H18" s="7">
        <v>0.6</v>
      </c>
      <c r="I18" s="50">
        <v>69</v>
      </c>
      <c r="J18" s="6" t="s">
        <v>95</v>
      </c>
      <c r="K18" s="7">
        <v>0.6</v>
      </c>
      <c r="L18" s="46">
        <v>66</v>
      </c>
    </row>
    <row r="19" spans="1:12" x14ac:dyDescent="0.15">
      <c r="A19" s="6" t="s">
        <v>116</v>
      </c>
      <c r="B19" s="7">
        <v>0.8</v>
      </c>
      <c r="C19" s="50">
        <v>92</v>
      </c>
      <c r="D19" s="6" t="s">
        <v>110</v>
      </c>
      <c r="E19" s="7">
        <v>0.9</v>
      </c>
      <c r="F19" s="51">
        <v>180</v>
      </c>
      <c r="G19" s="6" t="s">
        <v>144</v>
      </c>
      <c r="H19" s="7">
        <v>0.7</v>
      </c>
      <c r="I19" s="50">
        <v>80.5</v>
      </c>
      <c r="J19" s="6" t="s">
        <v>95</v>
      </c>
      <c r="K19" s="7">
        <v>0.65</v>
      </c>
      <c r="L19" s="46">
        <v>71.5</v>
      </c>
    </row>
    <row r="20" spans="1:12" x14ac:dyDescent="0.15">
      <c r="A20" s="6" t="s">
        <v>117</v>
      </c>
      <c r="B20" s="7">
        <v>0.85</v>
      </c>
      <c r="C20" s="50">
        <v>97.75</v>
      </c>
      <c r="D20" s="6" t="s">
        <v>141</v>
      </c>
      <c r="E20" s="7">
        <v>1</v>
      </c>
      <c r="F20" s="51">
        <v>200</v>
      </c>
      <c r="G20" s="6" t="s">
        <v>144</v>
      </c>
      <c r="H20" s="7">
        <v>0.8</v>
      </c>
      <c r="I20" s="50">
        <v>92</v>
      </c>
      <c r="J20" s="6" t="s">
        <v>95</v>
      </c>
      <c r="K20" s="7">
        <v>0.7</v>
      </c>
      <c r="L20" s="46">
        <v>77</v>
      </c>
    </row>
    <row r="21" spans="1:12" x14ac:dyDescent="0.15">
      <c r="A21" s="6" t="s">
        <v>116</v>
      </c>
      <c r="B21" s="7">
        <v>0.8</v>
      </c>
      <c r="C21" s="50">
        <v>92</v>
      </c>
      <c r="D21" s="6"/>
      <c r="E21" s="8"/>
      <c r="F21" s="43"/>
      <c r="G21" s="6" t="s">
        <v>154</v>
      </c>
      <c r="H21" s="7">
        <v>0.85</v>
      </c>
      <c r="I21" s="50">
        <v>97.75</v>
      </c>
      <c r="J21" s="6" t="s">
        <v>98</v>
      </c>
      <c r="K21" s="7">
        <v>0.75</v>
      </c>
      <c r="L21" s="46">
        <v>82.5</v>
      </c>
    </row>
    <row r="22" spans="1:12" x14ac:dyDescent="0.15">
      <c r="A22" s="6" t="s">
        <v>117</v>
      </c>
      <c r="B22" s="7">
        <v>0.85</v>
      </c>
      <c r="C22" s="50">
        <v>97.75</v>
      </c>
      <c r="D22" s="29" t="s">
        <v>34</v>
      </c>
      <c r="E22" s="8"/>
      <c r="F22" s="43"/>
      <c r="G22" s="6"/>
      <c r="H22" s="8"/>
      <c r="I22" s="43"/>
      <c r="J22" s="6" t="s">
        <v>95</v>
      </c>
      <c r="K22" s="7">
        <v>0.6</v>
      </c>
      <c r="L22" s="46">
        <v>66</v>
      </c>
    </row>
    <row r="23" spans="1:12" x14ac:dyDescent="0.15">
      <c r="A23" s="6"/>
      <c r="B23" s="8"/>
      <c r="C23" s="43"/>
      <c r="D23" s="6" t="s">
        <v>95</v>
      </c>
      <c r="E23" s="7">
        <v>0.6</v>
      </c>
      <c r="F23" s="52">
        <v>84</v>
      </c>
      <c r="G23" s="29" t="s">
        <v>45</v>
      </c>
      <c r="H23" s="8"/>
      <c r="I23" s="43"/>
      <c r="J23" s="6" t="s">
        <v>95</v>
      </c>
      <c r="K23" s="7">
        <v>0.65</v>
      </c>
      <c r="L23" s="46">
        <v>71.5</v>
      </c>
    </row>
    <row r="24" spans="1:12" x14ac:dyDescent="0.15">
      <c r="A24" s="29" t="s">
        <v>44</v>
      </c>
      <c r="B24" s="8"/>
      <c r="C24" s="43"/>
      <c r="D24" s="6" t="s">
        <v>95</v>
      </c>
      <c r="E24" s="7">
        <v>0.7</v>
      </c>
      <c r="F24" s="52">
        <v>98</v>
      </c>
      <c r="G24" s="6" t="s">
        <v>95</v>
      </c>
      <c r="H24" s="7">
        <v>0.6</v>
      </c>
      <c r="I24" s="50">
        <v>69</v>
      </c>
      <c r="J24" s="6"/>
      <c r="K24" s="8"/>
      <c r="L24" s="43"/>
    </row>
    <row r="25" spans="1:12" x14ac:dyDescent="0.15">
      <c r="A25" s="6" t="s">
        <v>103</v>
      </c>
      <c r="B25" s="7">
        <v>0.8</v>
      </c>
      <c r="C25" s="46">
        <v>88</v>
      </c>
      <c r="D25" s="6" t="s">
        <v>95</v>
      </c>
      <c r="E25" s="7">
        <v>0.8</v>
      </c>
      <c r="F25" s="52">
        <v>112</v>
      </c>
      <c r="G25" s="6" t="s">
        <v>95</v>
      </c>
      <c r="H25" s="7">
        <v>0.65</v>
      </c>
      <c r="I25" s="50">
        <v>74.75</v>
      </c>
      <c r="J25" s="29" t="s">
        <v>86</v>
      </c>
      <c r="K25" s="8"/>
      <c r="L25" s="43"/>
    </row>
    <row r="26" spans="1:12" x14ac:dyDescent="0.15">
      <c r="A26" s="6" t="s">
        <v>118</v>
      </c>
      <c r="B26" s="7">
        <v>0.9</v>
      </c>
      <c r="C26" s="46">
        <v>99</v>
      </c>
      <c r="D26" s="6" t="s">
        <v>113</v>
      </c>
      <c r="E26" s="7">
        <v>0.85</v>
      </c>
      <c r="F26" s="52">
        <v>119</v>
      </c>
      <c r="G26" s="6" t="s">
        <v>95</v>
      </c>
      <c r="H26" s="7">
        <v>0.7</v>
      </c>
      <c r="I26" s="50">
        <v>80.5</v>
      </c>
      <c r="J26" s="6" t="s">
        <v>105</v>
      </c>
      <c r="K26" s="7">
        <v>0.9</v>
      </c>
      <c r="L26" s="46">
        <v>99</v>
      </c>
    </row>
    <row r="27" spans="1:12" x14ac:dyDescent="0.15">
      <c r="A27" s="6"/>
      <c r="B27" s="8"/>
      <c r="C27" s="43"/>
      <c r="D27" s="6" t="s">
        <v>98</v>
      </c>
      <c r="E27" s="7">
        <v>0.9</v>
      </c>
      <c r="F27" s="52">
        <v>126</v>
      </c>
      <c r="G27" s="6" t="s">
        <v>155</v>
      </c>
      <c r="H27" s="7">
        <v>0.75</v>
      </c>
      <c r="I27" s="50">
        <v>86.25</v>
      </c>
      <c r="J27" s="6" t="s">
        <v>95</v>
      </c>
      <c r="K27" s="7">
        <v>1</v>
      </c>
      <c r="L27" s="46">
        <v>110</v>
      </c>
    </row>
    <row r="28" spans="1:12" x14ac:dyDescent="0.15">
      <c r="A28" s="29" t="s">
        <v>45</v>
      </c>
      <c r="B28" s="8"/>
      <c r="C28" s="43"/>
      <c r="D28" s="6" t="s">
        <v>95</v>
      </c>
      <c r="E28" s="7">
        <v>0.8</v>
      </c>
      <c r="F28" s="52">
        <v>112</v>
      </c>
      <c r="G28" s="6" t="s">
        <v>95</v>
      </c>
      <c r="H28" s="7">
        <v>0.65</v>
      </c>
      <c r="I28" s="50">
        <v>74.75</v>
      </c>
      <c r="J28" s="6" t="s">
        <v>105</v>
      </c>
      <c r="K28" s="7">
        <v>0.9</v>
      </c>
      <c r="L28" s="46">
        <v>99</v>
      </c>
    </row>
    <row r="29" spans="1:12" x14ac:dyDescent="0.15">
      <c r="A29" s="6" t="s">
        <v>105</v>
      </c>
      <c r="B29" s="7">
        <v>0.6</v>
      </c>
      <c r="C29" s="50">
        <v>69</v>
      </c>
      <c r="D29" s="6" t="s">
        <v>98</v>
      </c>
      <c r="E29" s="7">
        <v>0.85</v>
      </c>
      <c r="F29" s="52">
        <v>119</v>
      </c>
      <c r="G29" s="6" t="s">
        <v>113</v>
      </c>
      <c r="H29" s="7">
        <v>0.7</v>
      </c>
      <c r="I29" s="50">
        <v>80.5</v>
      </c>
      <c r="J29" s="6" t="s">
        <v>113</v>
      </c>
      <c r="K29" s="7">
        <v>1</v>
      </c>
      <c r="L29" s="46">
        <v>110</v>
      </c>
    </row>
    <row r="30" spans="1:12" x14ac:dyDescent="0.15">
      <c r="A30" s="6" t="s">
        <v>105</v>
      </c>
      <c r="B30" s="7">
        <v>0.7</v>
      </c>
      <c r="C30" s="50">
        <v>80.5</v>
      </c>
      <c r="D30" s="6"/>
      <c r="E30" s="8"/>
      <c r="F30" s="43"/>
      <c r="G30" s="6"/>
      <c r="H30" s="8"/>
      <c r="I30" s="43"/>
      <c r="J30" s="6" t="s">
        <v>105</v>
      </c>
      <c r="K30" s="7">
        <v>0.9</v>
      </c>
      <c r="L30" s="46">
        <v>99</v>
      </c>
    </row>
    <row r="31" spans="1:12" x14ac:dyDescent="0.15">
      <c r="A31" s="6" t="s">
        <v>113</v>
      </c>
      <c r="B31" s="7">
        <v>0.75</v>
      </c>
      <c r="C31" s="50">
        <v>86.25</v>
      </c>
      <c r="D31" s="29" t="s">
        <v>47</v>
      </c>
      <c r="E31" s="8"/>
      <c r="F31" s="43"/>
      <c r="G31" s="29" t="s">
        <v>82</v>
      </c>
      <c r="H31" s="8"/>
      <c r="I31" s="43"/>
      <c r="J31" s="6"/>
      <c r="K31" s="8"/>
      <c r="L31" s="43"/>
    </row>
    <row r="32" spans="1:12" x14ac:dyDescent="0.15">
      <c r="A32" s="6" t="s">
        <v>105</v>
      </c>
      <c r="B32" s="7">
        <v>0.6</v>
      </c>
      <c r="C32" s="50">
        <v>69</v>
      </c>
      <c r="D32" s="6" t="s">
        <v>48</v>
      </c>
      <c r="E32" s="8"/>
      <c r="F32" s="43"/>
      <c r="G32" s="6" t="s">
        <v>103</v>
      </c>
      <c r="H32" s="7">
        <v>0.9</v>
      </c>
      <c r="I32" s="28">
        <v>85.5</v>
      </c>
      <c r="J32" s="29" t="s">
        <v>51</v>
      </c>
      <c r="K32" s="8"/>
      <c r="L32" s="43"/>
    </row>
    <row r="33" spans="1:12" x14ac:dyDescent="0.15">
      <c r="A33" s="6" t="s">
        <v>95</v>
      </c>
      <c r="B33" s="7">
        <v>0.7</v>
      </c>
      <c r="C33" s="50">
        <v>80.5</v>
      </c>
      <c r="D33" s="6" t="s">
        <v>37</v>
      </c>
      <c r="E33" s="8"/>
      <c r="F33" s="43"/>
      <c r="G33" s="6" t="s">
        <v>95</v>
      </c>
      <c r="H33" s="7">
        <v>1</v>
      </c>
      <c r="I33" s="28">
        <v>95</v>
      </c>
      <c r="J33" s="6" t="s">
        <v>167</v>
      </c>
      <c r="K33" s="7">
        <v>0.6</v>
      </c>
      <c r="L33" s="52">
        <v>84</v>
      </c>
    </row>
    <row r="34" spans="1:12" x14ac:dyDescent="0.15">
      <c r="A34" s="6"/>
      <c r="B34" s="8"/>
      <c r="C34" s="43"/>
      <c r="D34" s="6"/>
      <c r="E34" s="8"/>
      <c r="F34" s="43"/>
      <c r="G34" s="6" t="s">
        <v>113</v>
      </c>
      <c r="H34" s="7">
        <v>1.1000000000000001</v>
      </c>
      <c r="I34" s="28">
        <v>104.50000000000001</v>
      </c>
      <c r="J34" s="6" t="s">
        <v>167</v>
      </c>
      <c r="K34" s="7">
        <v>0.7</v>
      </c>
      <c r="L34" s="52">
        <v>98</v>
      </c>
    </row>
    <row r="35" spans="1:12" x14ac:dyDescent="0.15">
      <c r="A35" s="29" t="s">
        <v>27</v>
      </c>
      <c r="B35" s="8"/>
      <c r="C35" s="43"/>
      <c r="D35" s="29" t="s">
        <v>27</v>
      </c>
      <c r="E35" s="8"/>
      <c r="F35" s="43"/>
      <c r="G35" s="6" t="s">
        <v>103</v>
      </c>
      <c r="H35" s="7">
        <v>0.9</v>
      </c>
      <c r="I35" s="28">
        <v>85.5</v>
      </c>
      <c r="J35" s="6" t="s">
        <v>168</v>
      </c>
      <c r="K35" s="7">
        <v>0.8</v>
      </c>
      <c r="L35" s="52">
        <v>112</v>
      </c>
    </row>
    <row r="36" spans="1:12" x14ac:dyDescent="0.15">
      <c r="A36" s="6" t="s">
        <v>32</v>
      </c>
      <c r="B36" s="8"/>
      <c r="C36" s="43"/>
      <c r="D36" s="6" t="s">
        <v>40</v>
      </c>
      <c r="E36" s="8"/>
      <c r="F36" s="43"/>
      <c r="G36" s="6" t="s">
        <v>95</v>
      </c>
      <c r="H36" s="7">
        <v>1</v>
      </c>
      <c r="I36" s="28">
        <v>95</v>
      </c>
      <c r="J36" s="6"/>
      <c r="K36" s="8"/>
      <c r="L36" s="43"/>
    </row>
    <row r="37" spans="1:12" x14ac:dyDescent="0.15">
      <c r="A37" s="6" t="s">
        <v>46</v>
      </c>
      <c r="B37" s="8"/>
      <c r="C37" s="43"/>
      <c r="D37" s="6" t="s">
        <v>41</v>
      </c>
      <c r="E37" s="8"/>
      <c r="F37" s="43"/>
      <c r="G37" s="6" t="s">
        <v>113</v>
      </c>
      <c r="H37" s="7">
        <v>1.1000000000000001</v>
      </c>
      <c r="I37" s="28">
        <v>104.50000000000001</v>
      </c>
      <c r="J37" s="29" t="s">
        <v>27</v>
      </c>
      <c r="K37" s="8"/>
      <c r="L37" s="43"/>
    </row>
    <row r="38" spans="1:12" x14ac:dyDescent="0.15">
      <c r="A38" s="6"/>
      <c r="B38" s="8"/>
      <c r="C38" s="43"/>
      <c r="D38" s="6"/>
      <c r="E38" s="8"/>
      <c r="F38" s="43"/>
      <c r="G38" s="6" t="s">
        <v>103</v>
      </c>
      <c r="H38" s="7">
        <v>0.9</v>
      </c>
      <c r="I38" s="28">
        <v>85.5</v>
      </c>
      <c r="J38" s="6" t="s">
        <v>52</v>
      </c>
      <c r="K38" s="8"/>
      <c r="L38" s="43"/>
    </row>
    <row r="39" spans="1:12" x14ac:dyDescent="0.15">
      <c r="A39" s="6"/>
      <c r="B39" s="8"/>
      <c r="C39" s="43"/>
      <c r="D39" s="6"/>
      <c r="E39" s="8"/>
      <c r="F39" s="43"/>
      <c r="G39" s="6" t="s">
        <v>95</v>
      </c>
      <c r="H39" s="7">
        <v>1</v>
      </c>
      <c r="I39" s="28">
        <v>95</v>
      </c>
      <c r="J39" s="6" t="s">
        <v>41</v>
      </c>
      <c r="K39" s="8"/>
      <c r="L39" s="43"/>
    </row>
    <row r="40" spans="1:12" x14ac:dyDescent="0.15">
      <c r="A40" s="6"/>
      <c r="B40" s="8"/>
      <c r="C40" s="43"/>
      <c r="D40" s="6"/>
      <c r="E40" s="8"/>
      <c r="F40" s="43"/>
      <c r="G40" s="6" t="s">
        <v>113</v>
      </c>
      <c r="H40" s="7">
        <v>1.1000000000000001</v>
      </c>
      <c r="I40" s="28">
        <v>104.50000000000001</v>
      </c>
      <c r="J40" s="6"/>
      <c r="K40" s="8"/>
      <c r="L40" s="43"/>
    </row>
    <row r="41" spans="1:12" x14ac:dyDescent="0.15">
      <c r="A41" s="6"/>
      <c r="B41" s="8"/>
      <c r="C41" s="43"/>
      <c r="D41" s="6"/>
      <c r="E41" s="8"/>
      <c r="F41" s="43"/>
      <c r="G41" s="6" t="s">
        <v>103</v>
      </c>
      <c r="H41" s="7">
        <v>0.9</v>
      </c>
      <c r="I41" s="28">
        <v>85.5</v>
      </c>
      <c r="J41" s="6"/>
      <c r="K41" s="8"/>
      <c r="L41" s="43"/>
    </row>
    <row r="42" spans="1:12" x14ac:dyDescent="0.15">
      <c r="A42" s="6"/>
      <c r="B42" s="8"/>
      <c r="C42" s="43"/>
      <c r="D42" s="6"/>
      <c r="E42" s="8"/>
      <c r="F42" s="43"/>
      <c r="G42" s="6" t="s">
        <v>95</v>
      </c>
      <c r="H42" s="7">
        <v>1</v>
      </c>
      <c r="I42" s="28">
        <v>95</v>
      </c>
      <c r="J42" s="6"/>
      <c r="K42" s="8"/>
      <c r="L42" s="43"/>
    </row>
    <row r="43" spans="1:12" ht="12" thickBot="1" x14ac:dyDescent="0.2">
      <c r="A43" s="9"/>
      <c r="B43" s="10"/>
      <c r="C43" s="48"/>
      <c r="D43" s="9"/>
      <c r="E43" s="10"/>
      <c r="F43" s="48"/>
      <c r="G43" s="9" t="s">
        <v>113</v>
      </c>
      <c r="H43" s="36">
        <v>1.1000000000000001</v>
      </c>
      <c r="I43" s="37">
        <v>104.50000000000001</v>
      </c>
      <c r="J43" s="9"/>
      <c r="K43" s="10"/>
      <c r="L43" s="4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B4FEA-0ECC-440B-8527-A6C603F88071}">
  <sheetPr codeName="Sheet5"/>
  <dimension ref="A1:L41"/>
  <sheetViews>
    <sheetView zoomScaleNormal="100" workbookViewId="0">
      <pane ySplit="1" topLeftCell="A2" activePane="bottomLeft" state="frozen"/>
      <selection pane="bottomLeft"/>
    </sheetView>
  </sheetViews>
  <sheetFormatPr defaultRowHeight="11.25" x14ac:dyDescent="0.15"/>
  <cols>
    <col min="1" max="1" width="48.42578125" style="3" customWidth="1"/>
    <col min="2" max="2" width="8.85546875" style="2" customWidth="1"/>
    <col min="3" max="3" width="8.85546875" style="45" customWidth="1"/>
    <col min="4" max="4" width="48.42578125" style="3" customWidth="1"/>
    <col min="5" max="5" width="8.85546875" style="2" customWidth="1"/>
    <col min="6" max="6" width="8.85546875" style="45" customWidth="1"/>
    <col min="7" max="7" width="48.42578125" style="3" customWidth="1"/>
    <col min="8" max="8" width="8.85546875" style="2" customWidth="1"/>
    <col min="9" max="9" width="8.85546875" style="45" customWidth="1"/>
    <col min="10" max="10" width="48.42578125" style="3" customWidth="1"/>
    <col min="11" max="11" width="8.85546875" style="2" customWidth="1"/>
    <col min="12" max="12" width="8.85546875" style="45" customWidth="1"/>
    <col min="13" max="16384" width="9.140625" style="3"/>
  </cols>
  <sheetData>
    <row r="1" spans="1:12" s="13" customFormat="1" ht="15.75" thickBot="1" x14ac:dyDescent="0.3">
      <c r="A1" s="33" t="s">
        <v>177</v>
      </c>
      <c r="B1" s="34" t="s">
        <v>93</v>
      </c>
      <c r="C1" s="40" t="s">
        <v>94</v>
      </c>
      <c r="D1" s="33" t="s">
        <v>178</v>
      </c>
      <c r="E1" s="34" t="s">
        <v>93</v>
      </c>
      <c r="F1" s="40" t="s">
        <v>94</v>
      </c>
      <c r="G1" s="33" t="s">
        <v>179</v>
      </c>
      <c r="H1" s="34" t="s">
        <v>93</v>
      </c>
      <c r="I1" s="40" t="s">
        <v>94</v>
      </c>
      <c r="J1" s="33" t="s">
        <v>180</v>
      </c>
      <c r="K1" s="34" t="s">
        <v>93</v>
      </c>
      <c r="L1" s="40" t="s">
        <v>94</v>
      </c>
    </row>
    <row r="2" spans="1:12" x14ac:dyDescent="0.15">
      <c r="A2" s="30" t="s">
        <v>53</v>
      </c>
      <c r="B2" s="5"/>
      <c r="C2" s="41"/>
      <c r="D2" s="30" t="s">
        <v>34</v>
      </c>
      <c r="E2" s="5"/>
      <c r="F2" s="41"/>
      <c r="G2" s="30" t="s">
        <v>61</v>
      </c>
      <c r="H2" s="5"/>
      <c r="I2" s="41"/>
      <c r="J2" s="30" t="s">
        <v>0</v>
      </c>
      <c r="K2" s="5"/>
      <c r="L2" s="41"/>
    </row>
    <row r="3" spans="1:12" x14ac:dyDescent="0.15">
      <c r="A3" s="6" t="s">
        <v>119</v>
      </c>
      <c r="B3" s="7">
        <v>0.6</v>
      </c>
      <c r="C3" s="28">
        <v>57</v>
      </c>
      <c r="D3" s="6" t="s">
        <v>95</v>
      </c>
      <c r="E3" s="7">
        <v>0.6</v>
      </c>
      <c r="F3" s="52">
        <v>84</v>
      </c>
      <c r="G3" s="6" t="s">
        <v>103</v>
      </c>
      <c r="H3" s="7">
        <v>0.6</v>
      </c>
      <c r="I3" s="42">
        <v>120</v>
      </c>
      <c r="J3" s="6" t="s">
        <v>105</v>
      </c>
      <c r="K3" s="7">
        <v>0.6</v>
      </c>
      <c r="L3" s="42">
        <v>120</v>
      </c>
    </row>
    <row r="4" spans="1:12" x14ac:dyDescent="0.15">
      <c r="A4" s="6" t="s">
        <v>119</v>
      </c>
      <c r="B4" s="7">
        <v>0.7</v>
      </c>
      <c r="C4" s="28">
        <v>66.5</v>
      </c>
      <c r="D4" s="6" t="s">
        <v>95</v>
      </c>
      <c r="E4" s="7">
        <v>0.7</v>
      </c>
      <c r="F4" s="52">
        <v>98</v>
      </c>
      <c r="G4" s="6" t="s">
        <v>103</v>
      </c>
      <c r="H4" s="7">
        <v>0.7</v>
      </c>
      <c r="I4" s="42">
        <v>140</v>
      </c>
      <c r="J4" s="6" t="s">
        <v>105</v>
      </c>
      <c r="K4" s="7">
        <v>0.7</v>
      </c>
      <c r="L4" s="42">
        <v>140</v>
      </c>
    </row>
    <row r="5" spans="1:12" x14ac:dyDescent="0.15">
      <c r="A5" s="6" t="s">
        <v>120</v>
      </c>
      <c r="B5" s="7">
        <v>0.8</v>
      </c>
      <c r="C5" s="28">
        <v>76</v>
      </c>
      <c r="D5" s="6" t="s">
        <v>95</v>
      </c>
      <c r="E5" s="7">
        <v>0.8</v>
      </c>
      <c r="F5" s="52">
        <v>112</v>
      </c>
      <c r="G5" s="6" t="s">
        <v>105</v>
      </c>
      <c r="H5" s="7">
        <v>0.8</v>
      </c>
      <c r="I5" s="42">
        <v>160</v>
      </c>
      <c r="J5" s="6" t="s">
        <v>105</v>
      </c>
      <c r="K5" s="7">
        <v>0.8</v>
      </c>
      <c r="L5" s="42">
        <v>160</v>
      </c>
    </row>
    <row r="6" spans="1:12" x14ac:dyDescent="0.15">
      <c r="A6" s="6"/>
      <c r="B6" s="8"/>
      <c r="C6" s="43"/>
      <c r="D6" s="6" t="s">
        <v>95</v>
      </c>
      <c r="E6" s="7">
        <v>0.85</v>
      </c>
      <c r="F6" s="52">
        <v>119</v>
      </c>
      <c r="G6" s="6" t="s">
        <v>105</v>
      </c>
      <c r="H6" s="7">
        <v>0.85</v>
      </c>
      <c r="I6" s="42">
        <v>170</v>
      </c>
      <c r="J6" s="6" t="s">
        <v>104</v>
      </c>
      <c r="K6" s="7">
        <v>0.85</v>
      </c>
      <c r="L6" s="42">
        <v>170</v>
      </c>
    </row>
    <row r="7" spans="1:12" x14ac:dyDescent="0.15">
      <c r="A7" s="29" t="s">
        <v>54</v>
      </c>
      <c r="B7" s="8"/>
      <c r="C7" s="43"/>
      <c r="D7" s="6" t="s">
        <v>113</v>
      </c>
      <c r="E7" s="7">
        <v>0.9</v>
      </c>
      <c r="F7" s="52">
        <v>126</v>
      </c>
      <c r="G7" s="6"/>
      <c r="H7" s="8"/>
      <c r="I7" s="43"/>
      <c r="J7" s="6"/>
      <c r="K7" s="8"/>
      <c r="L7" s="43"/>
    </row>
    <row r="8" spans="1:12" x14ac:dyDescent="0.15">
      <c r="A8" s="6" t="s">
        <v>121</v>
      </c>
      <c r="B8" s="7">
        <v>0.6</v>
      </c>
      <c r="C8" s="46">
        <v>66</v>
      </c>
      <c r="D8" s="6" t="s">
        <v>95</v>
      </c>
      <c r="E8" s="7">
        <v>0.9</v>
      </c>
      <c r="F8" s="52">
        <v>126</v>
      </c>
      <c r="G8" s="29" t="s">
        <v>42</v>
      </c>
      <c r="H8" s="8"/>
      <c r="I8" s="43"/>
      <c r="J8" s="29" t="s">
        <v>42</v>
      </c>
      <c r="K8" s="8"/>
      <c r="L8" s="43"/>
    </row>
    <row r="9" spans="1:12" x14ac:dyDescent="0.15">
      <c r="A9" s="6" t="s">
        <v>121</v>
      </c>
      <c r="B9" s="7">
        <v>0.7</v>
      </c>
      <c r="C9" s="46">
        <v>77</v>
      </c>
      <c r="D9" s="6" t="s">
        <v>95</v>
      </c>
      <c r="E9" s="7">
        <v>0.85</v>
      </c>
      <c r="F9" s="52">
        <v>119</v>
      </c>
      <c r="G9" s="6" t="s">
        <v>113</v>
      </c>
      <c r="H9" s="7">
        <v>0.6</v>
      </c>
      <c r="I9" s="28">
        <v>57</v>
      </c>
      <c r="J9" s="6" t="s">
        <v>113</v>
      </c>
      <c r="K9" s="7">
        <v>0.6</v>
      </c>
      <c r="L9" s="28">
        <v>57</v>
      </c>
    </row>
    <row r="10" spans="1:12" x14ac:dyDescent="0.15">
      <c r="A10" s="6" t="s">
        <v>122</v>
      </c>
      <c r="B10" s="7">
        <v>0.8</v>
      </c>
      <c r="C10" s="46">
        <v>88</v>
      </c>
      <c r="D10" s="6"/>
      <c r="E10" s="8"/>
      <c r="F10" s="43"/>
      <c r="G10" s="6" t="s">
        <v>113</v>
      </c>
      <c r="H10" s="7">
        <v>0.7</v>
      </c>
      <c r="I10" s="28">
        <v>66.5</v>
      </c>
      <c r="J10" s="6" t="s">
        <v>113</v>
      </c>
      <c r="K10" s="7">
        <v>0.7</v>
      </c>
      <c r="L10" s="28">
        <v>66.5</v>
      </c>
    </row>
    <row r="11" spans="1:12" x14ac:dyDescent="0.15">
      <c r="A11" s="6"/>
      <c r="B11" s="8"/>
      <c r="C11" s="43"/>
      <c r="D11" s="29" t="s">
        <v>60</v>
      </c>
      <c r="E11" s="8"/>
      <c r="F11" s="43"/>
      <c r="G11" s="6" t="s">
        <v>113</v>
      </c>
      <c r="H11" s="7">
        <v>0.8</v>
      </c>
      <c r="I11" s="28">
        <v>76</v>
      </c>
      <c r="J11" s="6" t="s">
        <v>113</v>
      </c>
      <c r="K11" s="7">
        <v>0.8</v>
      </c>
      <c r="L11" s="28">
        <v>76</v>
      </c>
    </row>
    <row r="12" spans="1:12" x14ac:dyDescent="0.15">
      <c r="A12" s="29" t="s">
        <v>55</v>
      </c>
      <c r="B12" s="8"/>
      <c r="C12" s="43"/>
      <c r="D12" s="6" t="s">
        <v>142</v>
      </c>
      <c r="E12" s="7">
        <v>0.6</v>
      </c>
      <c r="F12" s="28">
        <v>57</v>
      </c>
      <c r="G12" s="6" t="s">
        <v>98</v>
      </c>
      <c r="H12" s="7">
        <v>0.85</v>
      </c>
      <c r="I12" s="28">
        <v>80.75</v>
      </c>
      <c r="J12" s="6" t="s">
        <v>98</v>
      </c>
      <c r="K12" s="7">
        <v>0.85</v>
      </c>
      <c r="L12" s="28">
        <v>80.75</v>
      </c>
    </row>
    <row r="13" spans="1:12" x14ac:dyDescent="0.15">
      <c r="A13" s="6" t="s">
        <v>95</v>
      </c>
      <c r="B13" s="7">
        <v>0.6</v>
      </c>
      <c r="C13" s="50">
        <v>69</v>
      </c>
      <c r="D13" s="6" t="s">
        <v>142</v>
      </c>
      <c r="E13" s="7">
        <v>0.65</v>
      </c>
      <c r="F13" s="28">
        <v>61.75</v>
      </c>
      <c r="G13" s="6" t="s">
        <v>98</v>
      </c>
      <c r="H13" s="7">
        <v>0.9</v>
      </c>
      <c r="I13" s="28">
        <v>85.5</v>
      </c>
      <c r="J13" s="6" t="s">
        <v>98</v>
      </c>
      <c r="K13" s="7">
        <v>0.9</v>
      </c>
      <c r="L13" s="28">
        <v>85.5</v>
      </c>
    </row>
    <row r="14" spans="1:12" x14ac:dyDescent="0.15">
      <c r="A14" s="6" t="s">
        <v>95</v>
      </c>
      <c r="B14" s="7">
        <v>0.7</v>
      </c>
      <c r="C14" s="50">
        <v>80.5</v>
      </c>
      <c r="D14" s="6" t="s">
        <v>143</v>
      </c>
      <c r="E14" s="7">
        <v>0.7</v>
      </c>
      <c r="F14" s="28">
        <v>66.5</v>
      </c>
      <c r="G14" s="6"/>
      <c r="H14" s="8"/>
      <c r="I14" s="43"/>
      <c r="J14" s="6"/>
      <c r="K14" s="8"/>
      <c r="L14" s="43"/>
    </row>
    <row r="15" spans="1:12" x14ac:dyDescent="0.15">
      <c r="A15" s="6" t="s">
        <v>113</v>
      </c>
      <c r="B15" s="7">
        <v>0.8</v>
      </c>
      <c r="C15" s="50">
        <v>92</v>
      </c>
      <c r="D15" s="6" t="s">
        <v>142</v>
      </c>
      <c r="E15" s="7">
        <v>0.6</v>
      </c>
      <c r="F15" s="28">
        <v>57</v>
      </c>
      <c r="G15" s="29" t="s">
        <v>43</v>
      </c>
      <c r="H15" s="8"/>
      <c r="I15" s="43"/>
      <c r="J15" s="29" t="s">
        <v>43</v>
      </c>
      <c r="K15" s="8"/>
      <c r="L15" s="43"/>
    </row>
    <row r="16" spans="1:12" x14ac:dyDescent="0.15">
      <c r="A16" s="6" t="s">
        <v>113</v>
      </c>
      <c r="B16" s="7">
        <v>0.85</v>
      </c>
      <c r="C16" s="50">
        <v>97.75</v>
      </c>
      <c r="D16" s="6" t="s">
        <v>142</v>
      </c>
      <c r="E16" s="7">
        <v>0.65</v>
      </c>
      <c r="F16" s="28">
        <v>61.75</v>
      </c>
      <c r="G16" s="6" t="s">
        <v>144</v>
      </c>
      <c r="H16" s="7">
        <v>0.6</v>
      </c>
      <c r="I16" s="50">
        <v>69</v>
      </c>
      <c r="J16" s="6" t="s">
        <v>169</v>
      </c>
      <c r="K16" s="7">
        <v>0.6</v>
      </c>
      <c r="L16" s="50">
        <v>69</v>
      </c>
    </row>
    <row r="17" spans="1:12" x14ac:dyDescent="0.15">
      <c r="A17" s="6" t="s">
        <v>98</v>
      </c>
      <c r="B17" s="7">
        <v>0.9</v>
      </c>
      <c r="C17" s="50">
        <v>103.5</v>
      </c>
      <c r="D17" s="6" t="s">
        <v>143</v>
      </c>
      <c r="E17" s="7">
        <v>0.7</v>
      </c>
      <c r="F17" s="28">
        <v>66.5</v>
      </c>
      <c r="G17" s="6" t="s">
        <v>144</v>
      </c>
      <c r="H17" s="7">
        <v>0.7</v>
      </c>
      <c r="I17" s="50">
        <v>80.5</v>
      </c>
      <c r="J17" s="6" t="s">
        <v>169</v>
      </c>
      <c r="K17" s="7">
        <v>0.7</v>
      </c>
      <c r="L17" s="50">
        <v>80.5</v>
      </c>
    </row>
    <row r="18" spans="1:12" x14ac:dyDescent="0.15">
      <c r="A18" s="6" t="s">
        <v>123</v>
      </c>
      <c r="B18" s="7">
        <v>0.95</v>
      </c>
      <c r="C18" s="50">
        <v>109.25</v>
      </c>
      <c r="D18" s="6" t="s">
        <v>142</v>
      </c>
      <c r="E18" s="7">
        <v>0.6</v>
      </c>
      <c r="F18" s="28">
        <v>57</v>
      </c>
      <c r="G18" s="6" t="s">
        <v>144</v>
      </c>
      <c r="H18" s="7">
        <v>0.8</v>
      </c>
      <c r="I18" s="50">
        <v>92</v>
      </c>
      <c r="J18" s="6" t="s">
        <v>169</v>
      </c>
      <c r="K18" s="7">
        <v>0.8</v>
      </c>
      <c r="L18" s="50">
        <v>92</v>
      </c>
    </row>
    <row r="19" spans="1:12" x14ac:dyDescent="0.15">
      <c r="A19" s="6" t="s">
        <v>113</v>
      </c>
      <c r="B19" s="7">
        <v>0.8</v>
      </c>
      <c r="C19" s="50">
        <v>92</v>
      </c>
      <c r="D19" s="6" t="s">
        <v>142</v>
      </c>
      <c r="E19" s="7">
        <v>0.65</v>
      </c>
      <c r="F19" s="28">
        <v>61.75</v>
      </c>
      <c r="G19" s="6" t="s">
        <v>117</v>
      </c>
      <c r="H19" s="7">
        <v>0.85</v>
      </c>
      <c r="I19" s="50">
        <v>97.75</v>
      </c>
      <c r="J19" s="6" t="s">
        <v>170</v>
      </c>
      <c r="K19" s="7">
        <v>0.85</v>
      </c>
      <c r="L19" s="50">
        <v>97.75</v>
      </c>
    </row>
    <row r="20" spans="1:12" x14ac:dyDescent="0.15">
      <c r="A20" s="6" t="s">
        <v>113</v>
      </c>
      <c r="B20" s="7">
        <v>0.85</v>
      </c>
      <c r="C20" s="50">
        <v>97.75</v>
      </c>
      <c r="D20" s="6" t="s">
        <v>143</v>
      </c>
      <c r="E20" s="7">
        <v>0.7</v>
      </c>
      <c r="F20" s="28">
        <v>66.5</v>
      </c>
      <c r="G20" s="6" t="s">
        <v>117</v>
      </c>
      <c r="H20" s="7">
        <v>0.9</v>
      </c>
      <c r="I20" s="50">
        <v>103.5</v>
      </c>
      <c r="J20" s="6" t="s">
        <v>170</v>
      </c>
      <c r="K20" s="7">
        <v>0.9</v>
      </c>
      <c r="L20" s="50">
        <v>103.5</v>
      </c>
    </row>
    <row r="21" spans="1:12" x14ac:dyDescent="0.15">
      <c r="A21" s="6"/>
      <c r="B21" s="8"/>
      <c r="C21" s="43"/>
      <c r="D21" s="6"/>
      <c r="E21" s="8"/>
      <c r="F21" s="43"/>
      <c r="G21" s="6"/>
      <c r="H21" s="8"/>
      <c r="I21" s="43"/>
      <c r="J21" s="6"/>
      <c r="K21" s="8"/>
      <c r="L21" s="43"/>
    </row>
    <row r="22" spans="1:12" x14ac:dyDescent="0.15">
      <c r="A22" s="6" t="s">
        <v>56</v>
      </c>
      <c r="B22" s="8"/>
      <c r="C22" s="43"/>
      <c r="D22" s="29" t="s">
        <v>20</v>
      </c>
      <c r="E22" s="8"/>
      <c r="F22" s="43"/>
      <c r="G22" s="29" t="s">
        <v>83</v>
      </c>
      <c r="H22" s="8"/>
      <c r="I22" s="43"/>
      <c r="J22" s="29" t="s">
        <v>23</v>
      </c>
      <c r="K22" s="8"/>
      <c r="L22" s="43"/>
    </row>
    <row r="23" spans="1:12" x14ac:dyDescent="0.15">
      <c r="A23" s="6"/>
      <c r="B23" s="8"/>
      <c r="C23" s="43"/>
      <c r="D23" s="6" t="s">
        <v>105</v>
      </c>
      <c r="E23" s="7">
        <v>0.9</v>
      </c>
      <c r="F23" s="46">
        <v>99</v>
      </c>
      <c r="G23" s="6" t="s">
        <v>118</v>
      </c>
      <c r="H23" s="7">
        <v>1</v>
      </c>
      <c r="I23" s="28">
        <v>95</v>
      </c>
      <c r="J23" s="6" t="s">
        <v>105</v>
      </c>
      <c r="K23" s="7">
        <v>0.6</v>
      </c>
      <c r="L23" s="47">
        <v>48</v>
      </c>
    </row>
    <row r="24" spans="1:12" x14ac:dyDescent="0.15">
      <c r="A24" s="29" t="s">
        <v>0</v>
      </c>
      <c r="B24" s="8"/>
      <c r="C24" s="43"/>
      <c r="D24" s="6" t="s">
        <v>95</v>
      </c>
      <c r="E24" s="7">
        <v>1</v>
      </c>
      <c r="F24" s="46">
        <v>110</v>
      </c>
      <c r="G24" s="6"/>
      <c r="H24" s="8"/>
      <c r="I24" s="43"/>
      <c r="J24" s="6" t="s">
        <v>105</v>
      </c>
      <c r="K24" s="7">
        <v>0.65</v>
      </c>
      <c r="L24" s="47">
        <v>52</v>
      </c>
    </row>
    <row r="25" spans="1:12" x14ac:dyDescent="0.15">
      <c r="A25" s="6" t="s">
        <v>105</v>
      </c>
      <c r="B25" s="7">
        <v>0.6</v>
      </c>
      <c r="C25" s="42">
        <v>120</v>
      </c>
      <c r="D25" s="6" t="s">
        <v>105</v>
      </c>
      <c r="E25" s="7">
        <v>0.9</v>
      </c>
      <c r="F25" s="46">
        <v>99</v>
      </c>
      <c r="G25" s="29" t="s">
        <v>47</v>
      </c>
      <c r="H25" s="8"/>
      <c r="I25" s="43"/>
      <c r="J25" s="6" t="s">
        <v>105</v>
      </c>
      <c r="K25" s="7">
        <v>0.7</v>
      </c>
      <c r="L25" s="47">
        <v>56</v>
      </c>
    </row>
    <row r="26" spans="1:12" x14ac:dyDescent="0.15">
      <c r="A26" s="6" t="s">
        <v>105</v>
      </c>
      <c r="B26" s="7">
        <v>0.7</v>
      </c>
      <c r="C26" s="42">
        <v>140</v>
      </c>
      <c r="D26" s="6" t="s">
        <v>113</v>
      </c>
      <c r="E26" s="7">
        <v>1</v>
      </c>
      <c r="F26" s="46">
        <v>110</v>
      </c>
      <c r="G26" s="6" t="s">
        <v>62</v>
      </c>
      <c r="H26" s="8"/>
      <c r="I26" s="43"/>
      <c r="J26" s="6" t="s">
        <v>105</v>
      </c>
      <c r="K26" s="7">
        <v>0.6</v>
      </c>
      <c r="L26" s="47">
        <v>48</v>
      </c>
    </row>
    <row r="27" spans="1:12" x14ac:dyDescent="0.15">
      <c r="A27" s="6" t="s">
        <v>105</v>
      </c>
      <c r="B27" s="7">
        <v>0.8</v>
      </c>
      <c r="C27" s="42">
        <v>160</v>
      </c>
      <c r="D27" s="6" t="s">
        <v>105</v>
      </c>
      <c r="E27" s="7">
        <v>0.9</v>
      </c>
      <c r="F27" s="46">
        <v>99</v>
      </c>
      <c r="G27" s="6" t="s">
        <v>37</v>
      </c>
      <c r="H27" s="8"/>
      <c r="I27" s="43"/>
      <c r="J27" s="6" t="s">
        <v>95</v>
      </c>
      <c r="K27" s="7">
        <v>0.65</v>
      </c>
      <c r="L27" s="47">
        <v>52</v>
      </c>
    </row>
    <row r="28" spans="1:12" x14ac:dyDescent="0.15">
      <c r="A28" s="6" t="s">
        <v>124</v>
      </c>
      <c r="B28" s="7">
        <v>0.85</v>
      </c>
      <c r="C28" s="42">
        <v>170</v>
      </c>
      <c r="D28" s="6"/>
      <c r="E28" s="8"/>
      <c r="F28" s="43"/>
      <c r="G28" s="6"/>
      <c r="H28" s="8"/>
      <c r="I28" s="43"/>
      <c r="J28" s="6"/>
      <c r="K28" s="8"/>
      <c r="L28" s="43"/>
    </row>
    <row r="29" spans="1:12" x14ac:dyDescent="0.15">
      <c r="A29" s="6"/>
      <c r="B29" s="8"/>
      <c r="C29" s="43"/>
      <c r="D29" s="6"/>
      <c r="E29" s="8"/>
      <c r="F29" s="43"/>
      <c r="G29" s="29" t="s">
        <v>58</v>
      </c>
      <c r="H29" s="8"/>
      <c r="I29" s="43"/>
      <c r="J29" s="29" t="s">
        <v>83</v>
      </c>
      <c r="K29" s="8"/>
      <c r="L29" s="43"/>
    </row>
    <row r="30" spans="1:12" x14ac:dyDescent="0.15">
      <c r="A30" s="29" t="s">
        <v>47</v>
      </c>
      <c r="B30" s="8"/>
      <c r="C30" s="43"/>
      <c r="D30" s="6"/>
      <c r="E30" s="8"/>
      <c r="F30" s="43"/>
      <c r="G30" s="6" t="s">
        <v>63</v>
      </c>
      <c r="H30" s="8"/>
      <c r="I30" s="43"/>
      <c r="J30" s="6" t="s">
        <v>105</v>
      </c>
      <c r="K30" s="7">
        <v>0.9</v>
      </c>
      <c r="L30" s="28">
        <v>85.5</v>
      </c>
    </row>
    <row r="31" spans="1:12" x14ac:dyDescent="0.15">
      <c r="A31" s="6" t="s">
        <v>57</v>
      </c>
      <c r="B31" s="8"/>
      <c r="C31" s="43"/>
      <c r="D31" s="6"/>
      <c r="E31" s="8"/>
      <c r="F31" s="43"/>
      <c r="G31" s="6" t="s">
        <v>37</v>
      </c>
      <c r="H31" s="8"/>
      <c r="I31" s="43"/>
      <c r="J31" s="6" t="s">
        <v>95</v>
      </c>
      <c r="K31" s="7">
        <v>1</v>
      </c>
      <c r="L31" s="28">
        <v>95</v>
      </c>
    </row>
    <row r="32" spans="1:12" x14ac:dyDescent="0.15">
      <c r="A32" s="6" t="s">
        <v>37</v>
      </c>
      <c r="B32" s="8"/>
      <c r="C32" s="43"/>
      <c r="D32" s="6"/>
      <c r="E32" s="8"/>
      <c r="F32" s="43"/>
      <c r="G32" s="6"/>
      <c r="H32" s="8"/>
      <c r="I32" s="43"/>
      <c r="J32" s="6" t="s">
        <v>105</v>
      </c>
      <c r="K32" s="7">
        <v>0.9</v>
      </c>
      <c r="L32" s="28">
        <v>85.5</v>
      </c>
    </row>
    <row r="33" spans="1:12" x14ac:dyDescent="0.15">
      <c r="A33" s="6"/>
      <c r="B33" s="8"/>
      <c r="C33" s="43"/>
      <c r="D33" s="6"/>
      <c r="E33" s="8"/>
      <c r="F33" s="43"/>
      <c r="G33" s="29" t="s">
        <v>27</v>
      </c>
      <c r="H33" s="8"/>
      <c r="I33" s="43"/>
      <c r="J33" s="6" t="s">
        <v>95</v>
      </c>
      <c r="K33" s="7">
        <v>1</v>
      </c>
      <c r="L33" s="28">
        <v>95</v>
      </c>
    </row>
    <row r="34" spans="1:12" x14ac:dyDescent="0.15">
      <c r="A34" s="29" t="s">
        <v>58</v>
      </c>
      <c r="B34" s="8"/>
      <c r="C34" s="43"/>
      <c r="D34" s="6"/>
      <c r="E34" s="8"/>
      <c r="F34" s="43"/>
      <c r="G34" s="6" t="s">
        <v>52</v>
      </c>
      <c r="H34" s="8"/>
      <c r="I34" s="43"/>
      <c r="J34" s="6" t="s">
        <v>105</v>
      </c>
      <c r="K34" s="7">
        <v>0.9</v>
      </c>
      <c r="L34" s="28">
        <v>85.5</v>
      </c>
    </row>
    <row r="35" spans="1:12" x14ac:dyDescent="0.15">
      <c r="A35" s="6" t="s">
        <v>59</v>
      </c>
      <c r="B35" s="8"/>
      <c r="C35" s="43"/>
      <c r="D35" s="6"/>
      <c r="E35" s="8"/>
      <c r="F35" s="43"/>
      <c r="G35" s="6" t="s">
        <v>64</v>
      </c>
      <c r="H35" s="8"/>
      <c r="I35" s="43"/>
      <c r="J35" s="6" t="s">
        <v>95</v>
      </c>
      <c r="K35" s="7">
        <v>1</v>
      </c>
      <c r="L35" s="28">
        <v>95</v>
      </c>
    </row>
    <row r="36" spans="1:12" x14ac:dyDescent="0.15">
      <c r="A36" s="6" t="s">
        <v>37</v>
      </c>
      <c r="B36" s="8"/>
      <c r="C36" s="43"/>
      <c r="D36" s="6"/>
      <c r="E36" s="8"/>
      <c r="F36" s="43"/>
      <c r="G36" s="6"/>
      <c r="H36" s="8"/>
      <c r="I36" s="43"/>
      <c r="J36" s="6" t="s">
        <v>105</v>
      </c>
      <c r="K36" s="7">
        <v>0.9</v>
      </c>
      <c r="L36" s="28">
        <v>85.5</v>
      </c>
    </row>
    <row r="37" spans="1:12" x14ac:dyDescent="0.15">
      <c r="A37" s="6"/>
      <c r="B37" s="8"/>
      <c r="C37" s="43"/>
      <c r="D37" s="6"/>
      <c r="E37" s="8"/>
      <c r="F37" s="43"/>
      <c r="G37" s="6"/>
      <c r="H37" s="8"/>
      <c r="I37" s="43"/>
      <c r="J37" s="6" t="s">
        <v>95</v>
      </c>
      <c r="K37" s="7">
        <v>1</v>
      </c>
      <c r="L37" s="28">
        <v>95</v>
      </c>
    </row>
    <row r="38" spans="1:12" x14ac:dyDescent="0.15">
      <c r="A38" s="6"/>
      <c r="B38" s="8"/>
      <c r="C38" s="43"/>
      <c r="D38" s="6"/>
      <c r="E38" s="8"/>
      <c r="F38" s="43"/>
      <c r="G38" s="6"/>
      <c r="H38" s="8"/>
      <c r="I38" s="43"/>
      <c r="J38" s="6"/>
      <c r="K38" s="8"/>
      <c r="L38" s="43"/>
    </row>
    <row r="39" spans="1:12" x14ac:dyDescent="0.15">
      <c r="A39" s="6"/>
      <c r="B39" s="8"/>
      <c r="C39" s="43"/>
      <c r="D39" s="6"/>
      <c r="E39" s="8"/>
      <c r="F39" s="43"/>
      <c r="G39" s="6"/>
      <c r="H39" s="8"/>
      <c r="I39" s="43"/>
      <c r="J39" s="29" t="s">
        <v>65</v>
      </c>
      <c r="K39" s="8"/>
      <c r="L39" s="43"/>
    </row>
    <row r="40" spans="1:12" x14ac:dyDescent="0.15">
      <c r="A40" s="6"/>
      <c r="B40" s="8"/>
      <c r="C40" s="43"/>
      <c r="D40" s="6"/>
      <c r="E40" s="8"/>
      <c r="F40" s="43"/>
      <c r="G40" s="6"/>
      <c r="H40" s="8"/>
      <c r="I40" s="43"/>
      <c r="J40" s="6" t="s">
        <v>59</v>
      </c>
      <c r="K40" s="8"/>
      <c r="L40" s="43"/>
    </row>
    <row r="41" spans="1:12" ht="12" thickBot="1" x14ac:dyDescent="0.2">
      <c r="A41" s="9"/>
      <c r="B41" s="10"/>
      <c r="C41" s="48"/>
      <c r="D41" s="9"/>
      <c r="E41" s="10"/>
      <c r="F41" s="48"/>
      <c r="G41" s="9"/>
      <c r="H41" s="10"/>
      <c r="I41" s="48"/>
      <c r="J41" s="9" t="s">
        <v>37</v>
      </c>
      <c r="K41" s="10"/>
      <c r="L41" s="4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B6BB0-8FFC-4CAD-A80B-2C7563341CF3}">
  <sheetPr codeName="Sheet6"/>
  <dimension ref="A1:L41"/>
  <sheetViews>
    <sheetView zoomScaleNormal="100" workbookViewId="0">
      <pane ySplit="1" topLeftCell="A2" activePane="bottomLeft" state="frozen"/>
      <selection pane="bottomLeft"/>
    </sheetView>
  </sheetViews>
  <sheetFormatPr defaultRowHeight="11.25" x14ac:dyDescent="0.15"/>
  <cols>
    <col min="1" max="1" width="48.42578125" style="3" customWidth="1"/>
    <col min="2" max="2" width="8.85546875" style="2" customWidth="1"/>
    <col min="3" max="3" width="8.85546875" style="45" customWidth="1"/>
    <col min="4" max="4" width="48.42578125" style="3" customWidth="1"/>
    <col min="5" max="5" width="8.85546875" style="2" customWidth="1"/>
    <col min="6" max="6" width="8.85546875" style="45" customWidth="1"/>
    <col min="7" max="7" width="48.42578125" style="3" customWidth="1"/>
    <col min="8" max="8" width="8.85546875" style="2" customWidth="1"/>
    <col min="9" max="9" width="8.85546875" style="45" customWidth="1"/>
    <col min="10" max="10" width="48.42578125" style="3" customWidth="1"/>
    <col min="11" max="11" width="8.85546875" style="2" customWidth="1"/>
    <col min="12" max="12" width="8.85546875" style="45" customWidth="1"/>
    <col min="13" max="16384" width="9.140625" style="3"/>
  </cols>
  <sheetData>
    <row r="1" spans="1:12" s="13" customFormat="1" ht="15.75" thickBot="1" x14ac:dyDescent="0.3">
      <c r="A1" s="33" t="s">
        <v>177</v>
      </c>
      <c r="B1" s="34" t="s">
        <v>93</v>
      </c>
      <c r="C1" s="40" t="s">
        <v>94</v>
      </c>
      <c r="D1" s="33" t="s">
        <v>178</v>
      </c>
      <c r="E1" s="34" t="s">
        <v>93</v>
      </c>
      <c r="F1" s="40" t="s">
        <v>94</v>
      </c>
      <c r="G1" s="33" t="s">
        <v>179</v>
      </c>
      <c r="H1" s="34" t="s">
        <v>93</v>
      </c>
      <c r="I1" s="40" t="s">
        <v>94</v>
      </c>
      <c r="J1" s="33" t="s">
        <v>180</v>
      </c>
      <c r="K1" s="34" t="s">
        <v>93</v>
      </c>
      <c r="L1" s="40" t="s">
        <v>94</v>
      </c>
    </row>
    <row r="2" spans="1:12" x14ac:dyDescent="0.15">
      <c r="A2" s="30" t="s">
        <v>0</v>
      </c>
      <c r="B2" s="5"/>
      <c r="C2" s="41"/>
      <c r="D2" s="30" t="s">
        <v>34</v>
      </c>
      <c r="E2" s="5"/>
      <c r="F2" s="41"/>
      <c r="G2" s="30" t="s">
        <v>0</v>
      </c>
      <c r="H2" s="5"/>
      <c r="I2" s="41"/>
      <c r="J2" s="30" t="s">
        <v>0</v>
      </c>
      <c r="K2" s="5"/>
      <c r="L2" s="41"/>
    </row>
    <row r="3" spans="1:12" x14ac:dyDescent="0.15">
      <c r="A3" s="6" t="s">
        <v>95</v>
      </c>
      <c r="B3" s="7">
        <v>0.6</v>
      </c>
      <c r="C3" s="42">
        <v>120</v>
      </c>
      <c r="D3" s="6" t="s">
        <v>105</v>
      </c>
      <c r="E3" s="7">
        <v>0.6</v>
      </c>
      <c r="F3" s="52">
        <v>84</v>
      </c>
      <c r="G3" s="6" t="s">
        <v>95</v>
      </c>
      <c r="H3" s="7">
        <v>0.6</v>
      </c>
      <c r="I3" s="42">
        <v>120</v>
      </c>
      <c r="J3" s="6" t="s">
        <v>105</v>
      </c>
      <c r="K3" s="7">
        <v>0.6</v>
      </c>
      <c r="L3" s="42">
        <v>120</v>
      </c>
    </row>
    <row r="4" spans="1:12" x14ac:dyDescent="0.15">
      <c r="A4" s="6" t="s">
        <v>95</v>
      </c>
      <c r="B4" s="7">
        <v>0.7</v>
      </c>
      <c r="C4" s="42">
        <v>140</v>
      </c>
      <c r="D4" s="6" t="s">
        <v>105</v>
      </c>
      <c r="E4" s="7">
        <v>0.7</v>
      </c>
      <c r="F4" s="52">
        <v>98</v>
      </c>
      <c r="G4" s="6" t="s">
        <v>95</v>
      </c>
      <c r="H4" s="7">
        <v>0.7</v>
      </c>
      <c r="I4" s="42">
        <v>140</v>
      </c>
      <c r="J4" s="6" t="s">
        <v>105</v>
      </c>
      <c r="K4" s="7">
        <v>0.7</v>
      </c>
      <c r="L4" s="42">
        <v>140</v>
      </c>
    </row>
    <row r="5" spans="1:12" x14ac:dyDescent="0.15">
      <c r="A5" s="6" t="s">
        <v>95</v>
      </c>
      <c r="B5" s="7">
        <v>0.8</v>
      </c>
      <c r="C5" s="42">
        <v>160</v>
      </c>
      <c r="D5" s="6" t="s">
        <v>105</v>
      </c>
      <c r="E5" s="7">
        <v>0.8</v>
      </c>
      <c r="F5" s="52">
        <v>112</v>
      </c>
      <c r="G5" s="6" t="s">
        <v>156</v>
      </c>
      <c r="H5" s="7">
        <v>0.8</v>
      </c>
      <c r="I5" s="42">
        <v>160</v>
      </c>
      <c r="J5" s="6" t="s">
        <v>110</v>
      </c>
      <c r="K5" s="7">
        <v>0.8</v>
      </c>
      <c r="L5" s="42">
        <v>160</v>
      </c>
    </row>
    <row r="6" spans="1:12" x14ac:dyDescent="0.15">
      <c r="A6" s="6" t="s">
        <v>95</v>
      </c>
      <c r="B6" s="7">
        <v>0.85</v>
      </c>
      <c r="C6" s="42">
        <v>170</v>
      </c>
      <c r="D6" s="6" t="s">
        <v>105</v>
      </c>
      <c r="E6" s="7">
        <v>0.85</v>
      </c>
      <c r="F6" s="52">
        <v>119</v>
      </c>
      <c r="G6" s="6"/>
      <c r="H6" s="8"/>
      <c r="I6" s="43"/>
      <c r="J6" s="6"/>
      <c r="K6" s="8"/>
      <c r="L6" s="43"/>
    </row>
    <row r="7" spans="1:12" x14ac:dyDescent="0.15">
      <c r="A7" s="6"/>
      <c r="B7" s="8"/>
      <c r="C7" s="43"/>
      <c r="D7" s="6" t="s">
        <v>105</v>
      </c>
      <c r="E7" s="7">
        <v>0.8</v>
      </c>
      <c r="F7" s="52">
        <v>112</v>
      </c>
      <c r="G7" s="29" t="s">
        <v>38</v>
      </c>
      <c r="H7" s="8"/>
      <c r="I7" s="43"/>
      <c r="J7" s="29" t="s">
        <v>87</v>
      </c>
      <c r="K7" s="8"/>
      <c r="L7" s="43"/>
    </row>
    <row r="8" spans="1:12" x14ac:dyDescent="0.15">
      <c r="A8" s="29" t="s">
        <v>1</v>
      </c>
      <c r="B8" s="8"/>
      <c r="C8" s="43"/>
      <c r="D8" s="6" t="s">
        <v>105</v>
      </c>
      <c r="E8" s="7">
        <v>0.85</v>
      </c>
      <c r="F8" s="52">
        <v>119</v>
      </c>
      <c r="G8" s="6" t="s">
        <v>157</v>
      </c>
      <c r="H8" s="7">
        <v>0.6</v>
      </c>
      <c r="I8" s="49">
        <v>54</v>
      </c>
      <c r="J8" s="6" t="s">
        <v>105</v>
      </c>
      <c r="K8" s="7">
        <v>0.9</v>
      </c>
      <c r="L8" s="28">
        <v>85.5</v>
      </c>
    </row>
    <row r="9" spans="1:12" x14ac:dyDescent="0.15">
      <c r="A9" s="6" t="s">
        <v>95</v>
      </c>
      <c r="B9" s="7">
        <v>0.6</v>
      </c>
      <c r="C9" s="28">
        <v>57</v>
      </c>
      <c r="D9" s="6"/>
      <c r="E9" s="8"/>
      <c r="F9" s="43"/>
      <c r="G9" s="6" t="s">
        <v>158</v>
      </c>
      <c r="H9" s="7">
        <v>0.7</v>
      </c>
      <c r="I9" s="49">
        <v>62.999999999999993</v>
      </c>
      <c r="J9" s="6" t="s">
        <v>104</v>
      </c>
      <c r="K9" s="7">
        <v>1</v>
      </c>
      <c r="L9" s="28">
        <v>95</v>
      </c>
    </row>
    <row r="10" spans="1:12" x14ac:dyDescent="0.15">
      <c r="A10" s="6" t="s">
        <v>125</v>
      </c>
      <c r="B10" s="7">
        <v>0.7</v>
      </c>
      <c r="C10" s="28">
        <v>66.5</v>
      </c>
      <c r="D10" s="29" t="s">
        <v>42</v>
      </c>
      <c r="E10" s="8"/>
      <c r="F10" s="43"/>
      <c r="G10" s="6" t="s">
        <v>157</v>
      </c>
      <c r="H10" s="7">
        <v>0.6</v>
      </c>
      <c r="I10" s="49">
        <v>54</v>
      </c>
      <c r="J10" s="6"/>
      <c r="K10" s="8"/>
      <c r="L10" s="43"/>
    </row>
    <row r="11" spans="1:12" x14ac:dyDescent="0.15">
      <c r="A11" s="6"/>
      <c r="B11" s="8"/>
      <c r="C11" s="43"/>
      <c r="D11" s="6" t="s">
        <v>113</v>
      </c>
      <c r="E11" s="7">
        <v>0.6</v>
      </c>
      <c r="F11" s="28">
        <v>57</v>
      </c>
      <c r="G11" s="6" t="s">
        <v>158</v>
      </c>
      <c r="H11" s="7">
        <v>0.7</v>
      </c>
      <c r="I11" s="49">
        <v>62.999999999999993</v>
      </c>
      <c r="J11" s="29" t="s">
        <v>88</v>
      </c>
      <c r="K11" s="8"/>
      <c r="L11" s="43"/>
    </row>
    <row r="12" spans="1:12" x14ac:dyDescent="0.15">
      <c r="A12" s="29" t="s">
        <v>70</v>
      </c>
      <c r="B12" s="8"/>
      <c r="C12" s="43"/>
      <c r="D12" s="6" t="s">
        <v>113</v>
      </c>
      <c r="E12" s="7">
        <v>0.7</v>
      </c>
      <c r="F12" s="28">
        <v>66.5</v>
      </c>
      <c r="G12" s="6"/>
      <c r="H12" s="8"/>
      <c r="I12" s="43"/>
      <c r="J12" s="6" t="s">
        <v>105</v>
      </c>
      <c r="K12" s="7">
        <v>0.8</v>
      </c>
      <c r="L12" s="46">
        <v>88</v>
      </c>
    </row>
    <row r="13" spans="1:12" x14ac:dyDescent="0.15">
      <c r="A13" s="6" t="s">
        <v>126</v>
      </c>
      <c r="B13" s="7">
        <v>0.6</v>
      </c>
      <c r="C13" s="50">
        <v>69</v>
      </c>
      <c r="D13" s="6" t="s">
        <v>113</v>
      </c>
      <c r="E13" s="7">
        <v>0.8</v>
      </c>
      <c r="F13" s="28">
        <v>76</v>
      </c>
      <c r="G13" s="29" t="s">
        <v>73</v>
      </c>
      <c r="H13" s="8"/>
      <c r="I13" s="43"/>
      <c r="J13" s="6" t="s">
        <v>95</v>
      </c>
      <c r="K13" s="7">
        <v>0.9</v>
      </c>
      <c r="L13" s="46">
        <v>99</v>
      </c>
    </row>
    <row r="14" spans="1:12" x14ac:dyDescent="0.15">
      <c r="A14" s="6" t="s">
        <v>127</v>
      </c>
      <c r="B14" s="7">
        <v>0.7</v>
      </c>
      <c r="C14" s="50">
        <v>80.5</v>
      </c>
      <c r="D14" s="6" t="s">
        <v>98</v>
      </c>
      <c r="E14" s="7">
        <v>0.85</v>
      </c>
      <c r="F14" s="28">
        <v>80.75</v>
      </c>
      <c r="G14" s="6" t="s">
        <v>159</v>
      </c>
      <c r="H14" s="7">
        <v>0.6</v>
      </c>
      <c r="I14" s="50">
        <v>69</v>
      </c>
      <c r="J14" s="6" t="s">
        <v>105</v>
      </c>
      <c r="K14" s="7">
        <v>0.8</v>
      </c>
      <c r="L14" s="46">
        <v>88</v>
      </c>
    </row>
    <row r="15" spans="1:12" x14ac:dyDescent="0.15">
      <c r="A15" s="6"/>
      <c r="B15" s="8"/>
      <c r="C15" s="43"/>
      <c r="D15" s="6" t="s">
        <v>124</v>
      </c>
      <c r="E15" s="7">
        <v>0.8</v>
      </c>
      <c r="F15" s="28">
        <v>76</v>
      </c>
      <c r="G15" s="6" t="s">
        <v>160</v>
      </c>
      <c r="H15" s="7">
        <v>0.7</v>
      </c>
      <c r="I15" s="50">
        <v>80.5</v>
      </c>
      <c r="J15" s="6" t="s">
        <v>95</v>
      </c>
      <c r="K15" s="7">
        <v>0.9</v>
      </c>
      <c r="L15" s="46">
        <v>99</v>
      </c>
    </row>
    <row r="16" spans="1:12" x14ac:dyDescent="0.15">
      <c r="A16" s="29" t="s">
        <v>89</v>
      </c>
      <c r="B16" s="8"/>
      <c r="C16" s="43"/>
      <c r="D16" s="6"/>
      <c r="E16" s="8"/>
      <c r="F16" s="43"/>
      <c r="G16" s="6" t="s">
        <v>159</v>
      </c>
      <c r="H16" s="7">
        <v>0.6</v>
      </c>
      <c r="I16" s="50">
        <v>69</v>
      </c>
      <c r="J16" s="6" t="s">
        <v>105</v>
      </c>
      <c r="K16" s="7">
        <v>0.8</v>
      </c>
      <c r="L16" s="46">
        <v>88</v>
      </c>
    </row>
    <row r="17" spans="1:12" x14ac:dyDescent="0.15">
      <c r="A17" s="6" t="s">
        <v>128</v>
      </c>
      <c r="B17" s="7">
        <v>0.9</v>
      </c>
      <c r="C17" s="46">
        <v>99</v>
      </c>
      <c r="D17" s="29" t="s">
        <v>43</v>
      </c>
      <c r="E17" s="8"/>
      <c r="F17" s="43"/>
      <c r="G17" s="6" t="s">
        <v>160</v>
      </c>
      <c r="H17" s="7">
        <v>0.7</v>
      </c>
      <c r="I17" s="50">
        <v>80.5</v>
      </c>
      <c r="J17" s="6" t="s">
        <v>95</v>
      </c>
      <c r="K17" s="7">
        <v>0.9</v>
      </c>
      <c r="L17" s="46">
        <v>99</v>
      </c>
    </row>
    <row r="18" spans="1:12" x14ac:dyDescent="0.15">
      <c r="A18" s="6"/>
      <c r="B18" s="8"/>
      <c r="C18" s="43"/>
      <c r="D18" s="6" t="s">
        <v>144</v>
      </c>
      <c r="E18" s="7">
        <v>0.6</v>
      </c>
      <c r="F18" s="50">
        <v>69</v>
      </c>
      <c r="G18" s="6"/>
      <c r="H18" s="8"/>
      <c r="I18" s="43"/>
      <c r="J18" s="6"/>
      <c r="K18" s="8"/>
      <c r="L18" s="43"/>
    </row>
    <row r="19" spans="1:12" x14ac:dyDescent="0.15">
      <c r="A19" s="29" t="s">
        <v>27</v>
      </c>
      <c r="B19" s="8"/>
      <c r="C19" s="43"/>
      <c r="D19" s="6" t="s">
        <v>144</v>
      </c>
      <c r="E19" s="7">
        <v>0.7</v>
      </c>
      <c r="F19" s="50">
        <v>80.5</v>
      </c>
      <c r="G19" s="6"/>
      <c r="H19" s="8"/>
      <c r="I19" s="43"/>
      <c r="J19" s="29" t="s">
        <v>47</v>
      </c>
      <c r="K19" s="8"/>
      <c r="L19" s="43"/>
    </row>
    <row r="20" spans="1:12" x14ac:dyDescent="0.15">
      <c r="A20" s="6" t="s">
        <v>71</v>
      </c>
      <c r="B20" s="8"/>
      <c r="C20" s="43"/>
      <c r="D20" s="6" t="s">
        <v>144</v>
      </c>
      <c r="E20" s="7">
        <v>0.8</v>
      </c>
      <c r="F20" s="50">
        <v>92</v>
      </c>
      <c r="G20" s="6"/>
      <c r="H20" s="8"/>
      <c r="I20" s="43"/>
      <c r="J20" s="6" t="s">
        <v>74</v>
      </c>
      <c r="K20" s="8"/>
      <c r="L20" s="43"/>
    </row>
    <row r="21" spans="1:12" x14ac:dyDescent="0.15">
      <c r="A21" s="6" t="s">
        <v>41</v>
      </c>
      <c r="B21" s="8"/>
      <c r="C21" s="43"/>
      <c r="D21" s="6" t="s">
        <v>144</v>
      </c>
      <c r="E21" s="7">
        <v>0.85</v>
      </c>
      <c r="F21" s="50">
        <v>97.75</v>
      </c>
      <c r="G21" s="6"/>
      <c r="H21" s="8"/>
      <c r="I21" s="43"/>
      <c r="J21" s="6" t="s">
        <v>75</v>
      </c>
      <c r="K21" s="8"/>
      <c r="L21" s="43"/>
    </row>
    <row r="22" spans="1:12" x14ac:dyDescent="0.15">
      <c r="A22" s="6"/>
      <c r="B22" s="8"/>
      <c r="C22" s="43"/>
      <c r="D22" s="6" t="s">
        <v>145</v>
      </c>
      <c r="E22" s="7">
        <v>0.8</v>
      </c>
      <c r="F22" s="50">
        <v>92</v>
      </c>
      <c r="G22" s="6"/>
      <c r="H22" s="8"/>
      <c r="I22" s="43"/>
      <c r="J22" s="6"/>
      <c r="K22" s="8"/>
      <c r="L22" s="43"/>
    </row>
    <row r="23" spans="1:12" x14ac:dyDescent="0.15">
      <c r="A23" s="6"/>
      <c r="B23" s="8"/>
      <c r="C23" s="43"/>
      <c r="D23" s="6"/>
      <c r="E23" s="8"/>
      <c r="F23" s="43"/>
      <c r="G23" s="6"/>
      <c r="H23" s="8"/>
      <c r="I23" s="43"/>
      <c r="J23" s="6"/>
      <c r="K23" s="8"/>
      <c r="L23" s="43"/>
    </row>
    <row r="24" spans="1:12" x14ac:dyDescent="0.15">
      <c r="A24" s="6"/>
      <c r="B24" s="8"/>
      <c r="C24" s="43"/>
      <c r="D24" s="29" t="s">
        <v>90</v>
      </c>
      <c r="E24" s="8"/>
      <c r="F24" s="43"/>
      <c r="G24" s="6"/>
      <c r="H24" s="8"/>
      <c r="I24" s="43"/>
      <c r="J24" s="6"/>
      <c r="K24" s="8"/>
      <c r="L24" s="43"/>
    </row>
    <row r="25" spans="1:12" x14ac:dyDescent="0.15">
      <c r="A25" s="6"/>
      <c r="B25" s="8"/>
      <c r="C25" s="43"/>
      <c r="D25" s="6" t="s">
        <v>105</v>
      </c>
      <c r="E25" s="7">
        <v>0.8</v>
      </c>
      <c r="F25" s="28">
        <v>76</v>
      </c>
      <c r="G25" s="6"/>
      <c r="H25" s="8"/>
      <c r="I25" s="43"/>
      <c r="J25" s="6"/>
      <c r="K25" s="8"/>
      <c r="L25" s="43"/>
    </row>
    <row r="26" spans="1:12" x14ac:dyDescent="0.15">
      <c r="A26" s="6"/>
      <c r="B26" s="8"/>
      <c r="C26" s="43"/>
      <c r="D26" s="6" t="s">
        <v>95</v>
      </c>
      <c r="E26" s="7">
        <v>0.9</v>
      </c>
      <c r="F26" s="28">
        <v>85.5</v>
      </c>
      <c r="G26" s="6"/>
      <c r="H26" s="8"/>
      <c r="I26" s="43"/>
      <c r="J26" s="6"/>
      <c r="K26" s="8"/>
      <c r="L26" s="43"/>
    </row>
    <row r="27" spans="1:12" x14ac:dyDescent="0.15">
      <c r="A27" s="6"/>
      <c r="B27" s="8"/>
      <c r="C27" s="43"/>
      <c r="D27" s="6" t="s">
        <v>105</v>
      </c>
      <c r="E27" s="7">
        <v>0.8</v>
      </c>
      <c r="F27" s="28">
        <v>76</v>
      </c>
      <c r="G27" s="6"/>
      <c r="H27" s="8"/>
      <c r="I27" s="43"/>
      <c r="J27" s="6"/>
      <c r="K27" s="8"/>
      <c r="L27" s="43"/>
    </row>
    <row r="28" spans="1:12" x14ac:dyDescent="0.15">
      <c r="A28" s="6"/>
      <c r="B28" s="8"/>
      <c r="C28" s="43"/>
      <c r="D28" s="6" t="s">
        <v>95</v>
      </c>
      <c r="E28" s="7">
        <v>0.9</v>
      </c>
      <c r="F28" s="28">
        <v>85.5</v>
      </c>
      <c r="G28" s="6"/>
      <c r="H28" s="8"/>
      <c r="I28" s="43"/>
      <c r="J28" s="6"/>
      <c r="K28" s="8"/>
      <c r="L28" s="43"/>
    </row>
    <row r="29" spans="1:12" x14ac:dyDescent="0.15">
      <c r="A29" s="6"/>
      <c r="B29" s="8"/>
      <c r="C29" s="43"/>
      <c r="D29" s="6" t="s">
        <v>105</v>
      </c>
      <c r="E29" s="7">
        <v>0.8</v>
      </c>
      <c r="F29" s="28">
        <v>76</v>
      </c>
      <c r="G29" s="6"/>
      <c r="H29" s="8"/>
      <c r="I29" s="43"/>
      <c r="J29" s="6"/>
      <c r="K29" s="8"/>
      <c r="L29" s="43"/>
    </row>
    <row r="30" spans="1:12" x14ac:dyDescent="0.15">
      <c r="A30" s="6"/>
      <c r="B30" s="8"/>
      <c r="C30" s="43"/>
      <c r="D30" s="6" t="s">
        <v>95</v>
      </c>
      <c r="E30" s="7">
        <v>0.9</v>
      </c>
      <c r="F30" s="28">
        <v>85.5</v>
      </c>
      <c r="G30" s="6"/>
      <c r="H30" s="8"/>
      <c r="I30" s="43"/>
      <c r="J30" s="6"/>
      <c r="K30" s="8"/>
      <c r="L30" s="43"/>
    </row>
    <row r="31" spans="1:12" x14ac:dyDescent="0.15">
      <c r="A31" s="6"/>
      <c r="B31" s="8"/>
      <c r="C31" s="43"/>
      <c r="D31" s="6"/>
      <c r="E31" s="8"/>
      <c r="F31" s="43"/>
      <c r="G31" s="6"/>
      <c r="H31" s="8"/>
      <c r="I31" s="43"/>
      <c r="J31" s="6"/>
      <c r="K31" s="8"/>
      <c r="L31" s="43"/>
    </row>
    <row r="32" spans="1:12" x14ac:dyDescent="0.15">
      <c r="A32" s="6"/>
      <c r="B32" s="8"/>
      <c r="C32" s="43"/>
      <c r="D32" s="29" t="s">
        <v>45</v>
      </c>
      <c r="E32" s="8"/>
      <c r="F32" s="43"/>
      <c r="G32" s="6"/>
      <c r="H32" s="8"/>
      <c r="I32" s="43"/>
      <c r="J32" s="6"/>
      <c r="K32" s="8"/>
      <c r="L32" s="43"/>
    </row>
    <row r="33" spans="1:12" x14ac:dyDescent="0.15">
      <c r="A33" s="6"/>
      <c r="B33" s="8"/>
      <c r="C33" s="43"/>
      <c r="D33" s="6" t="s">
        <v>105</v>
      </c>
      <c r="E33" s="7">
        <v>0.6</v>
      </c>
      <c r="F33" s="47">
        <v>48</v>
      </c>
      <c r="G33" s="6"/>
      <c r="H33" s="8"/>
      <c r="I33" s="43"/>
      <c r="J33" s="6"/>
      <c r="K33" s="8"/>
      <c r="L33" s="43"/>
    </row>
    <row r="34" spans="1:12" x14ac:dyDescent="0.15">
      <c r="A34" s="6"/>
      <c r="B34" s="8"/>
      <c r="C34" s="43"/>
      <c r="D34" s="6" t="s">
        <v>105</v>
      </c>
      <c r="E34" s="7">
        <v>0.7</v>
      </c>
      <c r="F34" s="47">
        <v>56</v>
      </c>
      <c r="G34" s="6"/>
      <c r="H34" s="8"/>
      <c r="I34" s="43"/>
      <c r="J34" s="6"/>
      <c r="K34" s="8"/>
      <c r="L34" s="43"/>
    </row>
    <row r="35" spans="1:12" x14ac:dyDescent="0.15">
      <c r="A35" s="6"/>
      <c r="B35" s="8"/>
      <c r="C35" s="43"/>
      <c r="D35" s="6" t="s">
        <v>98</v>
      </c>
      <c r="E35" s="7">
        <v>0.75</v>
      </c>
      <c r="F35" s="47">
        <v>60</v>
      </c>
      <c r="G35" s="6"/>
      <c r="H35" s="8"/>
      <c r="I35" s="43"/>
      <c r="J35" s="6"/>
      <c r="K35" s="8"/>
      <c r="L35" s="43"/>
    </row>
    <row r="36" spans="1:12" x14ac:dyDescent="0.15">
      <c r="A36" s="6"/>
      <c r="B36" s="8"/>
      <c r="C36" s="43"/>
      <c r="D36" s="6" t="s">
        <v>105</v>
      </c>
      <c r="E36" s="7">
        <v>0.6</v>
      </c>
      <c r="F36" s="47">
        <v>48</v>
      </c>
      <c r="G36" s="6"/>
      <c r="H36" s="8"/>
      <c r="I36" s="43"/>
      <c r="J36" s="6"/>
      <c r="K36" s="8"/>
      <c r="L36" s="43"/>
    </row>
    <row r="37" spans="1:12" x14ac:dyDescent="0.15">
      <c r="A37" s="6"/>
      <c r="B37" s="8"/>
      <c r="C37" s="43"/>
      <c r="D37" s="6" t="s">
        <v>95</v>
      </c>
      <c r="E37" s="7">
        <v>0.7</v>
      </c>
      <c r="F37" s="47">
        <v>56</v>
      </c>
      <c r="G37" s="6"/>
      <c r="H37" s="8"/>
      <c r="I37" s="43"/>
      <c r="J37" s="6"/>
      <c r="K37" s="8"/>
      <c r="L37" s="43"/>
    </row>
    <row r="38" spans="1:12" x14ac:dyDescent="0.15">
      <c r="A38" s="6"/>
      <c r="B38" s="8"/>
      <c r="C38" s="43"/>
      <c r="D38" s="6"/>
      <c r="E38" s="8"/>
      <c r="F38" s="43"/>
      <c r="G38" s="6"/>
      <c r="H38" s="8"/>
      <c r="I38" s="43"/>
      <c r="J38" s="6"/>
      <c r="K38" s="8"/>
      <c r="L38" s="43"/>
    </row>
    <row r="39" spans="1:12" x14ac:dyDescent="0.15">
      <c r="A39" s="6"/>
      <c r="B39" s="8"/>
      <c r="C39" s="43"/>
      <c r="D39" s="29" t="s">
        <v>47</v>
      </c>
      <c r="E39" s="8"/>
      <c r="F39" s="43"/>
      <c r="G39" s="6"/>
      <c r="H39" s="8"/>
      <c r="I39" s="43"/>
      <c r="J39" s="6"/>
      <c r="K39" s="8"/>
      <c r="L39" s="43"/>
    </row>
    <row r="40" spans="1:12" x14ac:dyDescent="0.15">
      <c r="A40" s="6"/>
      <c r="B40" s="8"/>
      <c r="C40" s="43"/>
      <c r="D40" s="6" t="s">
        <v>72</v>
      </c>
      <c r="E40" s="8"/>
      <c r="F40" s="43"/>
      <c r="G40" s="6"/>
      <c r="H40" s="8"/>
      <c r="I40" s="43"/>
      <c r="J40" s="6"/>
      <c r="K40" s="8"/>
      <c r="L40" s="43"/>
    </row>
    <row r="41" spans="1:12" ht="12" thickBot="1" x14ac:dyDescent="0.2">
      <c r="A41" s="9"/>
      <c r="B41" s="10"/>
      <c r="C41" s="48"/>
      <c r="D41" s="9" t="s">
        <v>37</v>
      </c>
      <c r="E41" s="10"/>
      <c r="F41" s="48"/>
      <c r="G41" s="9"/>
      <c r="H41" s="10"/>
      <c r="I41" s="48"/>
      <c r="J41" s="9"/>
      <c r="K41" s="10"/>
      <c r="L41" s="4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9E8E9-0EB3-40CF-8FD4-DA2D3370A73E}">
  <sheetPr codeName="Sheet7"/>
  <dimension ref="A1:L38"/>
  <sheetViews>
    <sheetView zoomScaleNormal="100" workbookViewId="0">
      <pane ySplit="1" topLeftCell="A2" activePane="bottomLeft" state="frozen"/>
      <selection pane="bottomLeft"/>
    </sheetView>
  </sheetViews>
  <sheetFormatPr defaultRowHeight="11.25" x14ac:dyDescent="0.15"/>
  <cols>
    <col min="1" max="1" width="48.42578125" style="3" customWidth="1"/>
    <col min="2" max="2" width="8.85546875" style="2" customWidth="1"/>
    <col min="3" max="3" width="8.85546875" style="45" customWidth="1"/>
    <col min="4" max="4" width="48.42578125" style="3" customWidth="1"/>
    <col min="5" max="5" width="8.85546875" style="2" customWidth="1"/>
    <col min="6" max="6" width="8.85546875" style="45" customWidth="1"/>
    <col min="7" max="7" width="48.42578125" style="3" customWidth="1"/>
    <col min="8" max="8" width="8.85546875" style="2" customWidth="1"/>
    <col min="9" max="9" width="8.85546875" style="45" customWidth="1"/>
    <col min="10" max="10" width="48.42578125" style="3" customWidth="1"/>
    <col min="11" max="11" width="8.85546875" style="2" customWidth="1"/>
    <col min="12" max="12" width="8.85546875" style="45" customWidth="1"/>
    <col min="13" max="16384" width="9.140625" style="3"/>
  </cols>
  <sheetData>
    <row r="1" spans="1:12" s="13" customFormat="1" ht="15.75" thickBot="1" x14ac:dyDescent="0.3">
      <c r="A1" s="33" t="s">
        <v>177</v>
      </c>
      <c r="B1" s="34" t="s">
        <v>93</v>
      </c>
      <c r="C1" s="40" t="s">
        <v>94</v>
      </c>
      <c r="D1" s="33" t="s">
        <v>178</v>
      </c>
      <c r="E1" s="34" t="s">
        <v>93</v>
      </c>
      <c r="F1" s="40" t="s">
        <v>94</v>
      </c>
      <c r="G1" s="33" t="s">
        <v>179</v>
      </c>
      <c r="H1" s="34" t="s">
        <v>93</v>
      </c>
      <c r="I1" s="40" t="s">
        <v>94</v>
      </c>
      <c r="J1" s="33" t="s">
        <v>180</v>
      </c>
      <c r="K1" s="34" t="s">
        <v>93</v>
      </c>
      <c r="L1" s="40" t="s">
        <v>94</v>
      </c>
    </row>
    <row r="2" spans="1:12" x14ac:dyDescent="0.15">
      <c r="A2" s="30" t="s">
        <v>0</v>
      </c>
      <c r="B2" s="5"/>
      <c r="C2" s="41"/>
      <c r="D2" s="30" t="s">
        <v>0</v>
      </c>
      <c r="E2" s="5"/>
      <c r="F2" s="41"/>
      <c r="G2" s="30" t="s">
        <v>34</v>
      </c>
      <c r="H2" s="5"/>
      <c r="I2" s="41"/>
      <c r="J2" s="30" t="s">
        <v>0</v>
      </c>
      <c r="K2" s="5"/>
      <c r="L2" s="41"/>
    </row>
    <row r="3" spans="1:12" x14ac:dyDescent="0.15">
      <c r="A3" s="6" t="s">
        <v>103</v>
      </c>
      <c r="B3" s="7">
        <v>0.6</v>
      </c>
      <c r="C3" s="42">
        <v>120</v>
      </c>
      <c r="D3" s="6" t="s">
        <v>95</v>
      </c>
      <c r="E3" s="7">
        <v>0.6</v>
      </c>
      <c r="F3" s="42">
        <v>120</v>
      </c>
      <c r="G3" s="6" t="s">
        <v>105</v>
      </c>
      <c r="H3" s="7">
        <v>0.6</v>
      </c>
      <c r="I3" s="52">
        <v>84</v>
      </c>
      <c r="J3" s="6" t="s">
        <v>95</v>
      </c>
      <c r="K3" s="7">
        <v>0.6</v>
      </c>
      <c r="L3" s="42">
        <v>120</v>
      </c>
    </row>
    <row r="4" spans="1:12" x14ac:dyDescent="0.15">
      <c r="A4" s="6" t="s">
        <v>103</v>
      </c>
      <c r="B4" s="7">
        <v>0.7</v>
      </c>
      <c r="C4" s="42">
        <v>140</v>
      </c>
      <c r="D4" s="6" t="s">
        <v>95</v>
      </c>
      <c r="E4" s="7">
        <v>0.7</v>
      </c>
      <c r="F4" s="42">
        <v>140</v>
      </c>
      <c r="G4" s="6" t="s">
        <v>105</v>
      </c>
      <c r="H4" s="7">
        <v>0.7</v>
      </c>
      <c r="I4" s="52">
        <v>98</v>
      </c>
      <c r="J4" s="6" t="s">
        <v>95</v>
      </c>
      <c r="K4" s="7">
        <v>0.7</v>
      </c>
      <c r="L4" s="42">
        <v>140</v>
      </c>
    </row>
    <row r="5" spans="1:12" x14ac:dyDescent="0.15">
      <c r="A5" s="6" t="s">
        <v>111</v>
      </c>
      <c r="B5" s="7">
        <v>0.8</v>
      </c>
      <c r="C5" s="42">
        <v>160</v>
      </c>
      <c r="D5" s="6" t="s">
        <v>95</v>
      </c>
      <c r="E5" s="7">
        <v>0.8</v>
      </c>
      <c r="F5" s="42">
        <v>160</v>
      </c>
      <c r="G5" s="6" t="s">
        <v>105</v>
      </c>
      <c r="H5" s="7">
        <v>0.8</v>
      </c>
      <c r="I5" s="52">
        <v>112</v>
      </c>
      <c r="J5" s="6" t="s">
        <v>95</v>
      </c>
      <c r="K5" s="7">
        <v>0.8</v>
      </c>
      <c r="L5" s="42">
        <v>160</v>
      </c>
    </row>
    <row r="6" spans="1:12" x14ac:dyDescent="0.15">
      <c r="A6" s="6"/>
      <c r="B6" s="8"/>
      <c r="C6" s="43"/>
      <c r="D6" s="6" t="s">
        <v>95</v>
      </c>
      <c r="E6" s="7">
        <v>0.85</v>
      </c>
      <c r="F6" s="42">
        <v>170</v>
      </c>
      <c r="G6" s="6" t="s">
        <v>105</v>
      </c>
      <c r="H6" s="7">
        <v>0.85</v>
      </c>
      <c r="I6" s="52">
        <v>119</v>
      </c>
      <c r="J6" s="6" t="s">
        <v>96</v>
      </c>
      <c r="K6" s="7">
        <v>0.85</v>
      </c>
      <c r="L6" s="42">
        <v>170</v>
      </c>
    </row>
    <row r="7" spans="1:12" x14ac:dyDescent="0.15">
      <c r="A7" s="29" t="s">
        <v>42</v>
      </c>
      <c r="B7" s="8"/>
      <c r="C7" s="43"/>
      <c r="D7" s="6" t="s">
        <v>95</v>
      </c>
      <c r="E7" s="7">
        <v>0.8</v>
      </c>
      <c r="F7" s="42">
        <v>160</v>
      </c>
      <c r="G7" s="6" t="s">
        <v>95</v>
      </c>
      <c r="H7" s="7">
        <v>0.8</v>
      </c>
      <c r="I7" s="52">
        <v>112</v>
      </c>
      <c r="J7" s="6"/>
      <c r="K7" s="8"/>
      <c r="L7" s="43"/>
    </row>
    <row r="8" spans="1:12" x14ac:dyDescent="0.15">
      <c r="A8" s="6" t="s">
        <v>105</v>
      </c>
      <c r="B8" s="7">
        <v>0.6</v>
      </c>
      <c r="C8" s="28">
        <v>57</v>
      </c>
      <c r="D8" s="6"/>
      <c r="E8" s="8"/>
      <c r="F8" s="43"/>
      <c r="G8" s="6" t="s">
        <v>95</v>
      </c>
      <c r="H8" s="7">
        <v>0.85</v>
      </c>
      <c r="I8" s="52">
        <v>119</v>
      </c>
      <c r="J8" s="29" t="s">
        <v>38</v>
      </c>
      <c r="K8" s="8"/>
      <c r="L8" s="43"/>
    </row>
    <row r="9" spans="1:12" x14ac:dyDescent="0.15">
      <c r="A9" s="6" t="s">
        <v>105</v>
      </c>
      <c r="B9" s="7">
        <v>0.7</v>
      </c>
      <c r="C9" s="28">
        <v>66.5</v>
      </c>
      <c r="D9" s="29" t="s">
        <v>80</v>
      </c>
      <c r="E9" s="8"/>
      <c r="F9" s="43"/>
      <c r="G9" s="6" t="s">
        <v>95</v>
      </c>
      <c r="H9" s="7">
        <v>0.8</v>
      </c>
      <c r="I9" s="52">
        <v>112</v>
      </c>
      <c r="J9" s="6" t="s">
        <v>163</v>
      </c>
      <c r="K9" s="7">
        <v>0.6</v>
      </c>
      <c r="L9" s="49">
        <v>54</v>
      </c>
    </row>
    <row r="10" spans="1:12" x14ac:dyDescent="0.15">
      <c r="A10" s="6" t="s">
        <v>104</v>
      </c>
      <c r="B10" s="7">
        <v>0.8</v>
      </c>
      <c r="C10" s="28">
        <v>76</v>
      </c>
      <c r="D10" s="6" t="s">
        <v>146</v>
      </c>
      <c r="E10" s="7">
        <v>0.6</v>
      </c>
      <c r="F10" s="28">
        <v>57</v>
      </c>
      <c r="G10" s="6" t="s">
        <v>95</v>
      </c>
      <c r="H10" s="7">
        <v>0.85</v>
      </c>
      <c r="I10" s="52">
        <v>119</v>
      </c>
      <c r="J10" s="6" t="s">
        <v>171</v>
      </c>
      <c r="K10" s="7">
        <v>0.7</v>
      </c>
      <c r="L10" s="49">
        <v>62.999999999999993</v>
      </c>
    </row>
    <row r="11" spans="1:12" x14ac:dyDescent="0.15">
      <c r="A11" s="6"/>
      <c r="B11" s="8"/>
      <c r="C11" s="43"/>
      <c r="D11" s="6" t="s">
        <v>146</v>
      </c>
      <c r="E11" s="7">
        <v>0.65</v>
      </c>
      <c r="F11" s="28">
        <v>61.75</v>
      </c>
      <c r="G11" s="6"/>
      <c r="H11" s="8"/>
      <c r="I11" s="43"/>
      <c r="J11" s="6"/>
      <c r="K11" s="8"/>
      <c r="L11" s="43"/>
    </row>
    <row r="12" spans="1:12" x14ac:dyDescent="0.15">
      <c r="A12" s="29" t="s">
        <v>43</v>
      </c>
      <c r="B12" s="8"/>
      <c r="C12" s="43"/>
      <c r="D12" s="6" t="s">
        <v>147</v>
      </c>
      <c r="E12" s="7">
        <v>0.7</v>
      </c>
      <c r="F12" s="28">
        <v>66.5</v>
      </c>
      <c r="G12" s="29" t="s">
        <v>42</v>
      </c>
      <c r="H12" s="8"/>
      <c r="I12" s="43"/>
      <c r="J12" s="29" t="s">
        <v>39</v>
      </c>
      <c r="K12" s="8"/>
      <c r="L12" s="43"/>
    </row>
    <row r="13" spans="1:12" x14ac:dyDescent="0.15">
      <c r="A13" s="6" t="s">
        <v>115</v>
      </c>
      <c r="B13" s="7">
        <v>0.6</v>
      </c>
      <c r="C13" s="50">
        <v>69</v>
      </c>
      <c r="D13" s="6"/>
      <c r="E13" s="8"/>
      <c r="F13" s="43"/>
      <c r="G13" s="6" t="s">
        <v>95</v>
      </c>
      <c r="H13" s="7">
        <v>0.6</v>
      </c>
      <c r="I13" s="28">
        <v>57</v>
      </c>
      <c r="J13" s="6" t="s">
        <v>165</v>
      </c>
      <c r="K13" s="7">
        <v>0.6</v>
      </c>
      <c r="L13" s="50">
        <v>69</v>
      </c>
    </row>
    <row r="14" spans="1:12" x14ac:dyDescent="0.15">
      <c r="A14" s="6" t="s">
        <v>115</v>
      </c>
      <c r="B14" s="7">
        <v>0.7</v>
      </c>
      <c r="C14" s="50">
        <v>80.5</v>
      </c>
      <c r="D14" s="29" t="s">
        <v>30</v>
      </c>
      <c r="E14" s="8"/>
      <c r="F14" s="43"/>
      <c r="G14" s="6" t="s">
        <v>95</v>
      </c>
      <c r="H14" s="7">
        <v>0.7</v>
      </c>
      <c r="I14" s="28">
        <v>66.5</v>
      </c>
      <c r="J14" s="6" t="s">
        <v>172</v>
      </c>
      <c r="K14" s="7">
        <v>0.7</v>
      </c>
      <c r="L14" s="50">
        <v>80.5</v>
      </c>
    </row>
    <row r="15" spans="1:12" x14ac:dyDescent="0.15">
      <c r="A15" s="6" t="s">
        <v>129</v>
      </c>
      <c r="B15" s="7">
        <v>0.8</v>
      </c>
      <c r="C15" s="50">
        <v>92</v>
      </c>
      <c r="D15" s="6" t="s">
        <v>139</v>
      </c>
      <c r="E15" s="7">
        <v>0.6</v>
      </c>
      <c r="F15" s="50">
        <v>69</v>
      </c>
      <c r="G15" s="6" t="s">
        <v>95</v>
      </c>
      <c r="H15" s="7">
        <v>0.8</v>
      </c>
      <c r="I15" s="28">
        <v>76</v>
      </c>
      <c r="J15" s="6"/>
      <c r="K15" s="8"/>
      <c r="L15" s="43"/>
    </row>
    <row r="16" spans="1:12" x14ac:dyDescent="0.15">
      <c r="A16" s="6"/>
      <c r="B16" s="8"/>
      <c r="C16" s="43"/>
      <c r="D16" s="6" t="s">
        <v>139</v>
      </c>
      <c r="E16" s="7">
        <v>0.65</v>
      </c>
      <c r="F16" s="50">
        <v>74.75</v>
      </c>
      <c r="G16" s="6" t="s">
        <v>95</v>
      </c>
      <c r="H16" s="7">
        <v>0.85</v>
      </c>
      <c r="I16" s="28">
        <v>80.75</v>
      </c>
      <c r="J16" s="6"/>
      <c r="K16" s="8"/>
      <c r="L16" s="43"/>
    </row>
    <row r="17" spans="1:12" x14ac:dyDescent="0.15">
      <c r="A17" s="29" t="s">
        <v>90</v>
      </c>
      <c r="B17" s="8"/>
      <c r="C17" s="43"/>
      <c r="D17" s="6" t="s">
        <v>148</v>
      </c>
      <c r="E17" s="7">
        <v>0.7</v>
      </c>
      <c r="F17" s="50">
        <v>80.5</v>
      </c>
      <c r="G17" s="6" t="s">
        <v>113</v>
      </c>
      <c r="H17" s="7">
        <v>0.9</v>
      </c>
      <c r="I17" s="28">
        <v>85.5</v>
      </c>
      <c r="J17" s="6"/>
      <c r="K17" s="8"/>
      <c r="L17" s="43"/>
    </row>
    <row r="18" spans="1:12" x14ac:dyDescent="0.15">
      <c r="A18" s="6" t="s">
        <v>105</v>
      </c>
      <c r="B18" s="7">
        <v>0.85</v>
      </c>
      <c r="C18" s="28">
        <v>80.75</v>
      </c>
      <c r="D18" s="6"/>
      <c r="E18" s="8"/>
      <c r="F18" s="43"/>
      <c r="G18" s="6" t="s">
        <v>96</v>
      </c>
      <c r="H18" s="7">
        <v>0.8</v>
      </c>
      <c r="I18" s="28">
        <v>76</v>
      </c>
      <c r="J18" s="6"/>
      <c r="K18" s="8"/>
      <c r="L18" s="43"/>
    </row>
    <row r="19" spans="1:12" x14ac:dyDescent="0.15">
      <c r="A19" s="6" t="s">
        <v>110</v>
      </c>
      <c r="B19" s="7">
        <v>0.95</v>
      </c>
      <c r="C19" s="28">
        <v>90.25</v>
      </c>
      <c r="D19" s="29" t="s">
        <v>89</v>
      </c>
      <c r="E19" s="8"/>
      <c r="F19" s="43"/>
      <c r="G19" s="6"/>
      <c r="H19" s="8"/>
      <c r="I19" s="43"/>
      <c r="J19" s="6"/>
      <c r="K19" s="8"/>
      <c r="L19" s="43"/>
    </row>
    <row r="20" spans="1:12" x14ac:dyDescent="0.15">
      <c r="A20" s="6"/>
      <c r="B20" s="8"/>
      <c r="C20" s="43"/>
      <c r="D20" s="6" t="s">
        <v>105</v>
      </c>
      <c r="E20" s="7">
        <v>0.8</v>
      </c>
      <c r="F20" s="46">
        <v>88</v>
      </c>
      <c r="G20" s="29" t="s">
        <v>43</v>
      </c>
      <c r="H20" s="8"/>
      <c r="I20" s="43"/>
      <c r="J20" s="6"/>
      <c r="K20" s="8"/>
      <c r="L20" s="43"/>
    </row>
    <row r="21" spans="1:12" x14ac:dyDescent="0.15">
      <c r="A21" s="29" t="s">
        <v>23</v>
      </c>
      <c r="B21" s="8"/>
      <c r="C21" s="43"/>
      <c r="D21" s="6" t="s">
        <v>105</v>
      </c>
      <c r="E21" s="7">
        <v>0.9</v>
      </c>
      <c r="F21" s="46">
        <v>99</v>
      </c>
      <c r="G21" s="6" t="s">
        <v>161</v>
      </c>
      <c r="H21" s="7">
        <v>0.6</v>
      </c>
      <c r="I21" s="50">
        <v>69</v>
      </c>
      <c r="J21" s="6"/>
      <c r="K21" s="8"/>
      <c r="L21" s="43"/>
    </row>
    <row r="22" spans="1:12" x14ac:dyDescent="0.15">
      <c r="A22" s="6" t="s">
        <v>105</v>
      </c>
      <c r="B22" s="7">
        <v>0.6</v>
      </c>
      <c r="C22" s="47">
        <v>48</v>
      </c>
      <c r="D22" s="6" t="s">
        <v>95</v>
      </c>
      <c r="E22" s="7">
        <v>1</v>
      </c>
      <c r="F22" s="46">
        <v>110</v>
      </c>
      <c r="G22" s="6" t="s">
        <v>161</v>
      </c>
      <c r="H22" s="7">
        <v>0.7</v>
      </c>
      <c r="I22" s="50">
        <v>80.5</v>
      </c>
      <c r="J22" s="6"/>
      <c r="K22" s="8"/>
      <c r="L22" s="43"/>
    </row>
    <row r="23" spans="1:12" x14ac:dyDescent="0.15">
      <c r="A23" s="6" t="s">
        <v>105</v>
      </c>
      <c r="B23" s="7">
        <v>0.65</v>
      </c>
      <c r="C23" s="47">
        <v>52</v>
      </c>
      <c r="D23" s="6" t="s">
        <v>95</v>
      </c>
      <c r="E23" s="7">
        <v>0.85</v>
      </c>
      <c r="F23" s="46">
        <v>93.5</v>
      </c>
      <c r="G23" s="6" t="s">
        <v>161</v>
      </c>
      <c r="H23" s="7">
        <v>0.8</v>
      </c>
      <c r="I23" s="50">
        <v>92</v>
      </c>
      <c r="J23" s="6"/>
      <c r="K23" s="8"/>
      <c r="L23" s="43"/>
    </row>
    <row r="24" spans="1:12" x14ac:dyDescent="0.15">
      <c r="A24" s="6" t="s">
        <v>130</v>
      </c>
      <c r="B24" s="7">
        <v>0.7</v>
      </c>
      <c r="C24" s="47">
        <v>56</v>
      </c>
      <c r="D24" s="6" t="s">
        <v>95</v>
      </c>
      <c r="E24" s="7">
        <v>0.9</v>
      </c>
      <c r="F24" s="46">
        <v>99</v>
      </c>
      <c r="G24" s="6" t="s">
        <v>161</v>
      </c>
      <c r="H24" s="7">
        <v>0.85</v>
      </c>
      <c r="I24" s="50">
        <v>97.75</v>
      </c>
      <c r="J24" s="6"/>
      <c r="K24" s="8"/>
      <c r="L24" s="43"/>
    </row>
    <row r="25" spans="1:12" x14ac:dyDescent="0.15">
      <c r="A25" s="6"/>
      <c r="B25" s="8"/>
      <c r="C25" s="43"/>
      <c r="D25" s="6"/>
      <c r="E25" s="8"/>
      <c r="F25" s="43"/>
      <c r="G25" s="6" t="s">
        <v>144</v>
      </c>
      <c r="H25" s="7">
        <v>0.9</v>
      </c>
      <c r="I25" s="50">
        <v>103.5</v>
      </c>
      <c r="J25" s="6"/>
      <c r="K25" s="8"/>
      <c r="L25" s="43"/>
    </row>
    <row r="26" spans="1:12" x14ac:dyDescent="0.15">
      <c r="A26" s="29" t="s">
        <v>65</v>
      </c>
      <c r="B26" s="8"/>
      <c r="C26" s="43"/>
      <c r="D26" s="29" t="s">
        <v>81</v>
      </c>
      <c r="E26" s="8"/>
      <c r="F26" s="43"/>
      <c r="G26" s="6" t="s">
        <v>145</v>
      </c>
      <c r="H26" s="7">
        <v>0.8</v>
      </c>
      <c r="I26" s="50">
        <v>92</v>
      </c>
      <c r="J26" s="6"/>
      <c r="K26" s="8"/>
      <c r="L26" s="43"/>
    </row>
    <row r="27" spans="1:12" x14ac:dyDescent="0.15">
      <c r="A27" s="6" t="s">
        <v>59</v>
      </c>
      <c r="B27" s="8"/>
      <c r="C27" s="43"/>
      <c r="D27" s="6" t="s">
        <v>63</v>
      </c>
      <c r="E27" s="8"/>
      <c r="F27" s="43"/>
      <c r="G27" s="6"/>
      <c r="H27" s="8"/>
      <c r="I27" s="43"/>
      <c r="J27" s="6"/>
      <c r="K27" s="8"/>
      <c r="L27" s="43"/>
    </row>
    <row r="28" spans="1:12" x14ac:dyDescent="0.15">
      <c r="A28" s="6" t="s">
        <v>37</v>
      </c>
      <c r="B28" s="8"/>
      <c r="C28" s="43"/>
      <c r="D28" s="6" t="s">
        <v>37</v>
      </c>
      <c r="E28" s="8"/>
      <c r="F28" s="43"/>
      <c r="G28" s="29" t="s">
        <v>91</v>
      </c>
      <c r="H28" s="8"/>
      <c r="I28" s="43"/>
      <c r="J28" s="6"/>
      <c r="K28" s="8"/>
      <c r="L28" s="43"/>
    </row>
    <row r="29" spans="1:12" x14ac:dyDescent="0.15">
      <c r="A29" s="6"/>
      <c r="B29" s="8"/>
      <c r="C29" s="43"/>
      <c r="D29" s="6"/>
      <c r="E29" s="8"/>
      <c r="F29" s="43"/>
      <c r="G29" s="6" t="s">
        <v>105</v>
      </c>
      <c r="H29" s="7">
        <v>1</v>
      </c>
      <c r="I29" s="28">
        <v>95</v>
      </c>
      <c r="J29" s="6"/>
      <c r="K29" s="8"/>
      <c r="L29" s="43"/>
    </row>
    <row r="30" spans="1:12" x14ac:dyDescent="0.15">
      <c r="A30" s="6"/>
      <c r="B30" s="8"/>
      <c r="C30" s="43"/>
      <c r="D30" s="6"/>
      <c r="E30" s="8"/>
      <c r="F30" s="43"/>
      <c r="G30" s="6" t="s">
        <v>105</v>
      </c>
      <c r="H30" s="7">
        <v>1.1000000000000001</v>
      </c>
      <c r="I30" s="28">
        <v>104.50000000000001</v>
      </c>
      <c r="J30" s="6"/>
      <c r="K30" s="8"/>
      <c r="L30" s="43"/>
    </row>
    <row r="31" spans="1:12" x14ac:dyDescent="0.15">
      <c r="A31" s="6"/>
      <c r="B31" s="8"/>
      <c r="C31" s="43"/>
      <c r="D31" s="6"/>
      <c r="E31" s="8"/>
      <c r="F31" s="43"/>
      <c r="G31" s="6" t="s">
        <v>105</v>
      </c>
      <c r="H31" s="7">
        <v>1</v>
      </c>
      <c r="I31" s="28">
        <v>95</v>
      </c>
      <c r="J31" s="6"/>
      <c r="K31" s="8"/>
      <c r="L31" s="43"/>
    </row>
    <row r="32" spans="1:12" x14ac:dyDescent="0.15">
      <c r="A32" s="6"/>
      <c r="B32" s="8"/>
      <c r="C32" s="43"/>
      <c r="D32" s="6"/>
      <c r="E32" s="8"/>
      <c r="F32" s="43"/>
      <c r="G32" s="6" t="s">
        <v>105</v>
      </c>
      <c r="H32" s="7">
        <v>1.1000000000000001</v>
      </c>
      <c r="I32" s="28">
        <v>104.50000000000001</v>
      </c>
      <c r="J32" s="6"/>
      <c r="K32" s="8"/>
      <c r="L32" s="43"/>
    </row>
    <row r="33" spans="1:12" x14ac:dyDescent="0.15">
      <c r="A33" s="6"/>
      <c r="B33" s="8"/>
      <c r="C33" s="43"/>
      <c r="D33" s="6"/>
      <c r="E33" s="8"/>
      <c r="F33" s="43"/>
      <c r="G33" s="6" t="s">
        <v>105</v>
      </c>
      <c r="H33" s="7">
        <v>1</v>
      </c>
      <c r="I33" s="28">
        <v>95</v>
      </c>
      <c r="J33" s="6"/>
      <c r="K33" s="8"/>
      <c r="L33" s="43"/>
    </row>
    <row r="34" spans="1:12" x14ac:dyDescent="0.15">
      <c r="A34" s="6"/>
      <c r="B34" s="8"/>
      <c r="C34" s="43"/>
      <c r="D34" s="6"/>
      <c r="E34" s="8"/>
      <c r="F34" s="43"/>
      <c r="G34" s="6" t="s">
        <v>105</v>
      </c>
      <c r="H34" s="7">
        <v>1.1000000000000001</v>
      </c>
      <c r="I34" s="28">
        <v>104.50000000000001</v>
      </c>
      <c r="J34" s="6"/>
      <c r="K34" s="8"/>
      <c r="L34" s="43"/>
    </row>
    <row r="35" spans="1:12" x14ac:dyDescent="0.15">
      <c r="A35" s="6"/>
      <c r="B35" s="8"/>
      <c r="C35" s="43"/>
      <c r="D35" s="6"/>
      <c r="E35" s="8"/>
      <c r="F35" s="43"/>
      <c r="G35" s="6"/>
      <c r="H35" s="8"/>
      <c r="I35" s="43"/>
      <c r="J35" s="6"/>
      <c r="K35" s="8"/>
      <c r="L35" s="43"/>
    </row>
    <row r="36" spans="1:12" x14ac:dyDescent="0.15">
      <c r="A36" s="6"/>
      <c r="B36" s="8"/>
      <c r="C36" s="43"/>
      <c r="D36" s="6"/>
      <c r="E36" s="8"/>
      <c r="F36" s="43"/>
      <c r="G36" s="29" t="s">
        <v>47</v>
      </c>
      <c r="H36" s="8"/>
      <c r="I36" s="43"/>
      <c r="J36" s="6"/>
      <c r="K36" s="8"/>
      <c r="L36" s="43"/>
    </row>
    <row r="37" spans="1:12" x14ac:dyDescent="0.15">
      <c r="A37" s="6"/>
      <c r="B37" s="8"/>
      <c r="C37" s="43"/>
      <c r="D37" s="6"/>
      <c r="E37" s="8"/>
      <c r="F37" s="43"/>
      <c r="G37" s="6" t="s">
        <v>63</v>
      </c>
      <c r="H37" s="8"/>
      <c r="I37" s="43"/>
      <c r="J37" s="6"/>
      <c r="K37" s="8"/>
      <c r="L37" s="43"/>
    </row>
    <row r="38" spans="1:12" ht="12" thickBot="1" x14ac:dyDescent="0.2">
      <c r="A38" s="9"/>
      <c r="B38" s="10"/>
      <c r="C38" s="48"/>
      <c r="D38" s="9"/>
      <c r="E38" s="10"/>
      <c r="F38" s="48"/>
      <c r="G38" s="9" t="s">
        <v>37</v>
      </c>
      <c r="H38" s="10"/>
      <c r="I38" s="48"/>
      <c r="J38" s="9"/>
      <c r="K38" s="10"/>
      <c r="L38" s="4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F13AB-EA18-44B1-A664-AB1110B76FDE}">
  <sheetPr codeName="Sheet8"/>
  <dimension ref="A1:L232"/>
  <sheetViews>
    <sheetView zoomScaleNormal="100" workbookViewId="0">
      <pane ySplit="11" topLeftCell="A12" activePane="bottomLeft" state="frozen"/>
      <selection pane="bottomLeft" activeCell="D13" sqref="D13"/>
    </sheetView>
  </sheetViews>
  <sheetFormatPr defaultRowHeight="11.25" outlineLevelRow="1" x14ac:dyDescent="0.15"/>
  <cols>
    <col min="1" max="1" width="48.42578125" style="3" customWidth="1"/>
    <col min="2" max="3" width="8.85546875" style="2" customWidth="1"/>
    <col min="4" max="4" width="48.42578125" style="3" customWidth="1"/>
    <col min="5" max="6" width="8.85546875" style="2" customWidth="1"/>
    <col min="7" max="7" width="48.42578125" style="3" customWidth="1"/>
    <col min="8" max="9" width="8.85546875" style="2" customWidth="1"/>
    <col min="10" max="10" width="48.42578125" style="3" customWidth="1"/>
    <col min="11" max="12" width="8.85546875" style="2" customWidth="1"/>
    <col min="13" max="16384" width="9.140625" style="3"/>
  </cols>
  <sheetData>
    <row r="1" spans="1:12" x14ac:dyDescent="0.15">
      <c r="A1" s="90" t="s">
        <v>92</v>
      </c>
      <c r="B1" s="90"/>
      <c r="C1" s="90"/>
      <c r="D1" s="90"/>
      <c r="E1" s="90"/>
      <c r="F1" s="90"/>
      <c r="G1" s="90"/>
    </row>
    <row r="2" spans="1:12" ht="12" thickBot="1" x14ac:dyDescent="0.2">
      <c r="A2" s="1"/>
      <c r="B2" s="4"/>
      <c r="C2" s="1"/>
      <c r="D2" s="1"/>
      <c r="E2" s="1"/>
      <c r="F2" s="1"/>
      <c r="G2" s="1"/>
    </row>
    <row r="3" spans="1:12" ht="15" x14ac:dyDescent="0.2">
      <c r="A3" s="14" t="s">
        <v>0</v>
      </c>
      <c r="B3" s="53">
        <v>200</v>
      </c>
      <c r="C3" s="53" t="s">
        <v>181</v>
      </c>
      <c r="D3" s="1"/>
      <c r="E3" s="1"/>
      <c r="F3" s="1"/>
      <c r="G3" s="1"/>
    </row>
    <row r="4" spans="1:12" ht="15" x14ac:dyDescent="0.2">
      <c r="A4" s="15" t="s">
        <v>34</v>
      </c>
      <c r="B4" s="54">
        <v>140</v>
      </c>
      <c r="C4" s="54" t="s">
        <v>182</v>
      </c>
      <c r="D4" s="1"/>
      <c r="E4" s="1"/>
      <c r="F4" s="1"/>
      <c r="G4" s="1"/>
    </row>
    <row r="5" spans="1:12" ht="15" x14ac:dyDescent="0.2">
      <c r="A5" s="16" t="s">
        <v>173</v>
      </c>
      <c r="B5" s="55">
        <v>90</v>
      </c>
      <c r="C5" s="55" t="s">
        <v>183</v>
      </c>
      <c r="D5" s="1"/>
      <c r="E5" s="1"/>
      <c r="F5" s="1"/>
      <c r="G5" s="1"/>
    </row>
    <row r="6" spans="1:12" ht="15" x14ac:dyDescent="0.2">
      <c r="A6" s="17" t="s">
        <v>175</v>
      </c>
      <c r="B6" s="56">
        <v>110</v>
      </c>
      <c r="C6" s="56" t="s">
        <v>184</v>
      </c>
      <c r="D6" s="1"/>
      <c r="E6" s="1"/>
      <c r="F6" s="1"/>
      <c r="G6" s="1"/>
    </row>
    <row r="7" spans="1:12" ht="15" x14ac:dyDescent="0.2">
      <c r="A7" s="18" t="s">
        <v>42</v>
      </c>
      <c r="B7" s="57">
        <v>95</v>
      </c>
      <c r="C7" s="57" t="s">
        <v>185</v>
      </c>
      <c r="D7" s="1"/>
      <c r="E7" s="1"/>
      <c r="F7" s="1"/>
      <c r="G7" s="1"/>
    </row>
    <row r="8" spans="1:12" ht="15" x14ac:dyDescent="0.2">
      <c r="A8" s="19" t="s">
        <v>49</v>
      </c>
      <c r="B8" s="58">
        <v>115</v>
      </c>
      <c r="C8" s="58" t="s">
        <v>186</v>
      </c>
      <c r="D8" s="1"/>
      <c r="E8" s="1"/>
      <c r="F8" s="1"/>
      <c r="G8" s="1"/>
    </row>
    <row r="9" spans="1:12" ht="15" x14ac:dyDescent="0.2">
      <c r="A9" s="20" t="s">
        <v>176</v>
      </c>
      <c r="B9" s="59">
        <v>200</v>
      </c>
      <c r="C9" s="59" t="s">
        <v>187</v>
      </c>
      <c r="D9" s="1"/>
      <c r="E9" s="1"/>
      <c r="F9" s="1"/>
      <c r="G9" s="1"/>
    </row>
    <row r="10" spans="1:12" ht="15.75" thickBot="1" x14ac:dyDescent="0.25">
      <c r="A10" s="21" t="s">
        <v>23</v>
      </c>
      <c r="B10" s="60">
        <v>80</v>
      </c>
      <c r="C10" s="60" t="s">
        <v>188</v>
      </c>
      <c r="D10" s="1"/>
      <c r="E10" s="1"/>
      <c r="F10" s="1"/>
      <c r="G10" s="1"/>
    </row>
    <row r="11" spans="1:12" ht="12" thickBot="1" x14ac:dyDescent="0.2">
      <c r="A11" s="1"/>
      <c r="B11" s="4"/>
      <c r="C11" s="1"/>
      <c r="D11" s="1"/>
      <c r="E11" s="1"/>
      <c r="F11" s="1"/>
      <c r="G11" s="1"/>
    </row>
    <row r="12" spans="1:12" s="13" customFormat="1" ht="15.75" thickBot="1" x14ac:dyDescent="0.3">
      <c r="A12" s="33" t="s">
        <v>4</v>
      </c>
      <c r="B12" s="34" t="s">
        <v>93</v>
      </c>
      <c r="C12" s="40" t="s">
        <v>94</v>
      </c>
      <c r="D12" s="33" t="s">
        <v>5</v>
      </c>
      <c r="E12" s="34" t="s">
        <v>93</v>
      </c>
      <c r="F12" s="40" t="s">
        <v>94</v>
      </c>
      <c r="G12" s="33" t="s">
        <v>6</v>
      </c>
      <c r="H12" s="34" t="s">
        <v>93</v>
      </c>
      <c r="I12" s="40" t="s">
        <v>94</v>
      </c>
      <c r="J12" s="33" t="s">
        <v>7</v>
      </c>
      <c r="K12" s="34" t="s">
        <v>93</v>
      </c>
      <c r="L12" s="40" t="s">
        <v>94</v>
      </c>
    </row>
    <row r="13" spans="1:12" outlineLevel="1" x14ac:dyDescent="0.15">
      <c r="A13" s="30" t="s">
        <v>0</v>
      </c>
      <c r="B13" s="5"/>
      <c r="C13" s="41"/>
      <c r="D13" s="30" t="s">
        <v>0</v>
      </c>
      <c r="E13" s="5"/>
      <c r="F13" s="41"/>
      <c r="G13" s="30" t="s">
        <v>0</v>
      </c>
      <c r="H13" s="5"/>
      <c r="I13" s="41"/>
      <c r="J13" s="30" t="s">
        <v>0</v>
      </c>
      <c r="K13" s="5"/>
      <c r="L13" s="41"/>
    </row>
    <row r="14" spans="1:12" outlineLevel="1" x14ac:dyDescent="0.15">
      <c r="A14" s="6" t="s">
        <v>95</v>
      </c>
      <c r="B14" s="7">
        <v>0.6</v>
      </c>
      <c r="C14" s="42">
        <f>$B$3*B14</f>
        <v>120</v>
      </c>
      <c r="D14" s="6" t="s">
        <v>131</v>
      </c>
      <c r="E14" s="7">
        <v>0.6</v>
      </c>
      <c r="F14" s="42">
        <f>$B$3*E14</f>
        <v>120</v>
      </c>
      <c r="G14" s="6" t="s">
        <v>103</v>
      </c>
      <c r="H14" s="7">
        <v>0.6</v>
      </c>
      <c r="I14" s="42">
        <f>$B$3*H14</f>
        <v>120</v>
      </c>
      <c r="J14" s="6" t="s">
        <v>162</v>
      </c>
      <c r="K14" s="7">
        <v>0.6</v>
      </c>
      <c r="L14" s="42">
        <f>B3*K14</f>
        <v>120</v>
      </c>
    </row>
    <row r="15" spans="1:12" outlineLevel="1" x14ac:dyDescent="0.15">
      <c r="A15" s="6" t="s">
        <v>95</v>
      </c>
      <c r="B15" s="7">
        <v>0.7</v>
      </c>
      <c r="C15" s="42">
        <f>$B$3*B15</f>
        <v>140</v>
      </c>
      <c r="D15" s="6"/>
      <c r="E15" s="8"/>
      <c r="F15" s="43"/>
      <c r="G15" s="6" t="s">
        <v>149</v>
      </c>
      <c r="H15" s="7">
        <v>0.7</v>
      </c>
      <c r="I15" s="42">
        <f>$B$3*H15</f>
        <v>140</v>
      </c>
      <c r="J15" s="6"/>
      <c r="K15" s="8"/>
      <c r="L15" s="43"/>
    </row>
    <row r="16" spans="1:12" outlineLevel="1" x14ac:dyDescent="0.15">
      <c r="A16" s="6" t="s">
        <v>96</v>
      </c>
      <c r="B16" s="7">
        <v>0.8</v>
      </c>
      <c r="C16" s="42">
        <f>$B$3*B16</f>
        <v>160</v>
      </c>
      <c r="D16" s="29" t="s">
        <v>20</v>
      </c>
      <c r="E16" s="8"/>
      <c r="F16" s="43"/>
      <c r="G16" s="6"/>
      <c r="H16" s="8"/>
      <c r="I16" s="43"/>
      <c r="J16" s="29" t="s">
        <v>20</v>
      </c>
      <c r="K16" s="8"/>
      <c r="L16" s="43"/>
    </row>
    <row r="17" spans="1:12" outlineLevel="1" x14ac:dyDescent="0.15">
      <c r="A17" s="6"/>
      <c r="B17" s="8"/>
      <c r="C17" s="43"/>
      <c r="D17" s="6" t="s">
        <v>96</v>
      </c>
      <c r="E17" s="7">
        <v>0.9</v>
      </c>
      <c r="F17" s="46">
        <f>$B$6*E17</f>
        <v>99</v>
      </c>
      <c r="G17" s="29" t="s">
        <v>82</v>
      </c>
      <c r="H17" s="8"/>
      <c r="I17" s="43"/>
      <c r="J17" s="6" t="s">
        <v>135</v>
      </c>
      <c r="K17" s="7">
        <v>0.9</v>
      </c>
      <c r="L17" s="46">
        <f>$B$6*K17</f>
        <v>99</v>
      </c>
    </row>
    <row r="18" spans="1:12" outlineLevel="1" x14ac:dyDescent="0.15">
      <c r="A18" s="29" t="s">
        <v>83</v>
      </c>
      <c r="B18" s="8"/>
      <c r="C18" s="43"/>
      <c r="D18" s="6"/>
      <c r="E18" s="8"/>
      <c r="F18" s="43"/>
      <c r="G18" s="6" t="s">
        <v>97</v>
      </c>
      <c r="H18" s="7">
        <v>0.95</v>
      </c>
      <c r="I18" s="28">
        <f>$B$7*H18</f>
        <v>90.25</v>
      </c>
      <c r="J18" s="6"/>
      <c r="K18" s="8"/>
      <c r="L18" s="43"/>
    </row>
    <row r="19" spans="1:12" outlineLevel="1" x14ac:dyDescent="0.15">
      <c r="A19" s="6" t="s">
        <v>97</v>
      </c>
      <c r="B19" s="7">
        <v>0.9</v>
      </c>
      <c r="C19" s="28">
        <f>$B$7*B19</f>
        <v>85.5</v>
      </c>
      <c r="D19" s="29" t="s">
        <v>84</v>
      </c>
      <c r="E19" s="8"/>
      <c r="F19" s="43"/>
      <c r="G19" s="6"/>
      <c r="H19" s="8"/>
      <c r="I19" s="43"/>
      <c r="J19" s="29" t="s">
        <v>23</v>
      </c>
      <c r="K19" s="8"/>
      <c r="L19" s="43"/>
    </row>
    <row r="20" spans="1:12" outlineLevel="1" x14ac:dyDescent="0.15">
      <c r="A20" s="6"/>
      <c r="B20" s="8"/>
      <c r="C20" s="43"/>
      <c r="D20" s="6" t="s">
        <v>98</v>
      </c>
      <c r="E20" s="7">
        <v>0.6</v>
      </c>
      <c r="F20" s="46">
        <f t="shared" ref="F20:F21" si="0">$B$6*E20</f>
        <v>66</v>
      </c>
      <c r="G20" s="29" t="s">
        <v>85</v>
      </c>
      <c r="H20" s="8"/>
      <c r="I20" s="43"/>
      <c r="J20" s="6" t="s">
        <v>104</v>
      </c>
      <c r="K20" s="7">
        <v>0.6</v>
      </c>
      <c r="L20" s="47">
        <f>$B$10*K20</f>
        <v>48</v>
      </c>
    </row>
    <row r="21" spans="1:12" outlineLevel="1" x14ac:dyDescent="0.15">
      <c r="A21" s="29" t="s">
        <v>1</v>
      </c>
      <c r="B21" s="8"/>
      <c r="C21" s="43"/>
      <c r="D21" s="6" t="s">
        <v>99</v>
      </c>
      <c r="E21" s="7">
        <v>0.7</v>
      </c>
      <c r="F21" s="46">
        <f t="shared" si="0"/>
        <v>77</v>
      </c>
      <c r="G21" s="6" t="s">
        <v>98</v>
      </c>
      <c r="H21" s="7">
        <v>0.6</v>
      </c>
      <c r="I21" s="28">
        <f t="shared" ref="I21:I22" si="1">$B$7*H21</f>
        <v>57</v>
      </c>
      <c r="J21" s="6"/>
      <c r="K21" s="8"/>
      <c r="L21" s="43"/>
    </row>
    <row r="22" spans="1:12" outlineLevel="1" x14ac:dyDescent="0.15">
      <c r="A22" s="6" t="s">
        <v>98</v>
      </c>
      <c r="B22" s="7">
        <v>0.6</v>
      </c>
      <c r="C22" s="28">
        <f t="shared" ref="C22:C25" si="2">$B$7*B22</f>
        <v>57</v>
      </c>
      <c r="D22" s="6"/>
      <c r="E22" s="8"/>
      <c r="F22" s="43"/>
      <c r="G22" s="6" t="s">
        <v>99</v>
      </c>
      <c r="H22" s="7">
        <v>0.7</v>
      </c>
      <c r="I22" s="28">
        <f t="shared" si="1"/>
        <v>66.5</v>
      </c>
      <c r="J22" s="6"/>
      <c r="K22" s="8"/>
      <c r="L22" s="43"/>
    </row>
    <row r="23" spans="1:12" outlineLevel="1" x14ac:dyDescent="0.15">
      <c r="A23" s="6" t="s">
        <v>98</v>
      </c>
      <c r="B23" s="7">
        <v>0.7</v>
      </c>
      <c r="C23" s="28">
        <f t="shared" si="2"/>
        <v>66.5</v>
      </c>
      <c r="D23" s="29" t="s">
        <v>21</v>
      </c>
      <c r="E23" s="8"/>
      <c r="F23" s="43"/>
      <c r="G23" s="6"/>
      <c r="H23" s="8"/>
      <c r="I23" s="43"/>
      <c r="J23" s="6"/>
      <c r="K23" s="8"/>
      <c r="L23" s="43"/>
    </row>
    <row r="24" spans="1:12" outlineLevel="1" x14ac:dyDescent="0.15">
      <c r="A24" s="6" t="s">
        <v>98</v>
      </c>
      <c r="B24" s="7">
        <v>0.75</v>
      </c>
      <c r="C24" s="28">
        <f t="shared" si="2"/>
        <v>71.25</v>
      </c>
      <c r="D24" s="6" t="s">
        <v>132</v>
      </c>
      <c r="E24" s="7">
        <v>0.6</v>
      </c>
      <c r="F24" s="46">
        <f t="shared" ref="F24:F25" si="3">$B$6*E24</f>
        <v>66</v>
      </c>
      <c r="G24" s="29" t="s">
        <v>2</v>
      </c>
      <c r="H24" s="8"/>
      <c r="I24" s="43"/>
      <c r="J24" s="6"/>
      <c r="K24" s="8"/>
      <c r="L24" s="43"/>
    </row>
    <row r="25" spans="1:12" outlineLevel="1" x14ac:dyDescent="0.15">
      <c r="A25" s="6" t="s">
        <v>99</v>
      </c>
      <c r="B25" s="7">
        <v>0.8</v>
      </c>
      <c r="C25" s="28">
        <f t="shared" si="2"/>
        <v>76</v>
      </c>
      <c r="D25" s="6" t="s">
        <v>133</v>
      </c>
      <c r="E25" s="7">
        <v>0.7</v>
      </c>
      <c r="F25" s="46">
        <f t="shared" si="3"/>
        <v>77</v>
      </c>
      <c r="G25" s="6" t="s">
        <v>100</v>
      </c>
      <c r="H25" s="7">
        <v>0.6</v>
      </c>
      <c r="I25" s="28">
        <f t="shared" ref="I25:I26" si="4">$B$7*H25</f>
        <v>57</v>
      </c>
      <c r="J25" s="6"/>
      <c r="K25" s="8"/>
      <c r="L25" s="43"/>
    </row>
    <row r="26" spans="1:12" outlineLevel="1" x14ac:dyDescent="0.15">
      <c r="A26" s="6"/>
      <c r="B26" s="8"/>
      <c r="C26" s="43"/>
      <c r="D26" s="6"/>
      <c r="E26" s="8"/>
      <c r="F26" s="43"/>
      <c r="G26" s="6" t="s">
        <v>150</v>
      </c>
      <c r="H26" s="7">
        <v>0.7</v>
      </c>
      <c r="I26" s="28">
        <f t="shared" si="4"/>
        <v>66.5</v>
      </c>
      <c r="J26" s="6"/>
      <c r="K26" s="8"/>
      <c r="L26" s="43"/>
    </row>
    <row r="27" spans="1:12" outlineLevel="1" x14ac:dyDescent="0.15">
      <c r="A27" s="29" t="s">
        <v>2</v>
      </c>
      <c r="B27" s="8"/>
      <c r="C27" s="43"/>
      <c r="D27" s="29" t="s">
        <v>22</v>
      </c>
      <c r="E27" s="8"/>
      <c r="F27" s="43"/>
      <c r="G27" s="6"/>
      <c r="H27" s="8"/>
      <c r="I27" s="43"/>
      <c r="J27" s="6"/>
      <c r="K27" s="8"/>
      <c r="L27" s="43"/>
    </row>
    <row r="28" spans="1:12" outlineLevel="1" x14ac:dyDescent="0.15">
      <c r="A28" s="6" t="s">
        <v>100</v>
      </c>
      <c r="B28" s="7">
        <v>0.6</v>
      </c>
      <c r="C28" s="28">
        <f t="shared" ref="C28:C30" si="5">$B$7*B28</f>
        <v>57</v>
      </c>
      <c r="D28" s="6" t="s">
        <v>134</v>
      </c>
      <c r="E28" s="7">
        <v>0.75</v>
      </c>
      <c r="F28" s="47">
        <f>$B$10*E28</f>
        <v>60</v>
      </c>
      <c r="G28" s="29" t="s">
        <v>3</v>
      </c>
      <c r="H28" s="8"/>
      <c r="I28" s="43"/>
      <c r="J28" s="6"/>
      <c r="K28" s="8"/>
      <c r="L28" s="43"/>
    </row>
    <row r="29" spans="1:12" outlineLevel="1" x14ac:dyDescent="0.15">
      <c r="A29" s="6" t="s">
        <v>100</v>
      </c>
      <c r="B29" s="7">
        <v>0.7</v>
      </c>
      <c r="C29" s="28">
        <f t="shared" si="5"/>
        <v>66.5</v>
      </c>
      <c r="D29" s="6"/>
      <c r="E29" s="8"/>
      <c r="F29" s="43"/>
      <c r="G29" s="6" t="s">
        <v>151</v>
      </c>
      <c r="H29" s="7">
        <v>0.75</v>
      </c>
      <c r="I29" s="49">
        <f>$B$5*H29</f>
        <v>67.5</v>
      </c>
      <c r="J29" s="6"/>
      <c r="K29" s="8"/>
      <c r="L29" s="43"/>
    </row>
    <row r="30" spans="1:12" outlineLevel="1" x14ac:dyDescent="0.15">
      <c r="A30" s="6" t="s">
        <v>101</v>
      </c>
      <c r="B30" s="7">
        <v>0.8</v>
      </c>
      <c r="C30" s="28">
        <f t="shared" si="5"/>
        <v>76</v>
      </c>
      <c r="D30" s="6"/>
      <c r="E30" s="8"/>
      <c r="F30" s="43"/>
      <c r="G30" s="6"/>
      <c r="H30" s="8"/>
      <c r="I30" s="43"/>
      <c r="J30" s="6"/>
      <c r="K30" s="8"/>
      <c r="L30" s="43"/>
    </row>
    <row r="31" spans="1:12" outlineLevel="1" x14ac:dyDescent="0.15">
      <c r="A31" s="6"/>
      <c r="B31" s="8"/>
      <c r="C31" s="43"/>
      <c r="D31" s="6"/>
      <c r="E31" s="8"/>
      <c r="F31" s="43"/>
      <c r="G31" s="6"/>
      <c r="H31" s="8"/>
      <c r="I31" s="43"/>
      <c r="J31" s="6"/>
      <c r="K31" s="8"/>
      <c r="L31" s="43"/>
    </row>
    <row r="32" spans="1:12" outlineLevel="1" x14ac:dyDescent="0.15">
      <c r="A32" s="29" t="s">
        <v>3</v>
      </c>
      <c r="B32" s="8"/>
      <c r="C32" s="43"/>
      <c r="D32" s="6"/>
      <c r="E32" s="8"/>
      <c r="F32" s="43"/>
      <c r="G32" s="6"/>
      <c r="H32" s="8"/>
      <c r="I32" s="43"/>
      <c r="J32" s="6"/>
      <c r="K32" s="8"/>
      <c r="L32" s="43"/>
    </row>
    <row r="33" spans="1:12" ht="12" outlineLevel="1" thickBot="1" x14ac:dyDescent="0.2">
      <c r="A33" s="9" t="s">
        <v>102</v>
      </c>
      <c r="B33" s="36">
        <v>0.75</v>
      </c>
      <c r="C33" s="44">
        <f>$B$5*B33</f>
        <v>67.5</v>
      </c>
      <c r="D33" s="9"/>
      <c r="E33" s="10"/>
      <c r="F33" s="48"/>
      <c r="G33" s="9"/>
      <c r="H33" s="10"/>
      <c r="I33" s="48"/>
      <c r="J33" s="9"/>
      <c r="K33" s="10"/>
      <c r="L33" s="48"/>
    </row>
    <row r="34" spans="1:12" ht="12" thickBot="1" x14ac:dyDescent="0.2">
      <c r="C34" s="45"/>
      <c r="F34" s="45"/>
      <c r="I34" s="45"/>
      <c r="L34" s="45"/>
    </row>
    <row r="35" spans="1:12" s="13" customFormat="1" ht="15.75" thickBot="1" x14ac:dyDescent="0.3">
      <c r="A35" s="33" t="s">
        <v>8</v>
      </c>
      <c r="B35" s="34" t="s">
        <v>93</v>
      </c>
      <c r="C35" s="40" t="s">
        <v>94</v>
      </c>
      <c r="D35" s="33" t="s">
        <v>9</v>
      </c>
      <c r="E35" s="34" t="s">
        <v>93</v>
      </c>
      <c r="F35" s="40" t="s">
        <v>94</v>
      </c>
      <c r="G35" s="35" t="s">
        <v>10</v>
      </c>
      <c r="H35" s="34" t="s">
        <v>93</v>
      </c>
      <c r="I35" s="40" t="s">
        <v>94</v>
      </c>
      <c r="J35" s="33" t="s">
        <v>11</v>
      </c>
      <c r="K35" s="34" t="s">
        <v>93</v>
      </c>
      <c r="L35" s="40" t="s">
        <v>94</v>
      </c>
    </row>
    <row r="36" spans="1:12" outlineLevel="1" x14ac:dyDescent="0.15">
      <c r="A36" s="30" t="s">
        <v>0</v>
      </c>
      <c r="B36" s="5"/>
      <c r="C36" s="41"/>
      <c r="D36" s="30" t="s">
        <v>0</v>
      </c>
      <c r="E36" s="5"/>
      <c r="F36" s="41"/>
      <c r="G36" s="31" t="s">
        <v>34</v>
      </c>
      <c r="H36" s="5"/>
      <c r="I36" s="41"/>
      <c r="J36" s="30" t="s">
        <v>35</v>
      </c>
      <c r="K36" s="5"/>
      <c r="L36" s="41"/>
    </row>
    <row r="37" spans="1:12" outlineLevel="1" x14ac:dyDescent="0.15">
      <c r="A37" s="6" t="s">
        <v>103</v>
      </c>
      <c r="B37" s="7">
        <v>0.6</v>
      </c>
      <c r="C37" s="42">
        <f>$B$3*B37</f>
        <v>120</v>
      </c>
      <c r="D37" s="6" t="s">
        <v>105</v>
      </c>
      <c r="E37" s="7">
        <v>0.6</v>
      </c>
      <c r="F37" s="42">
        <f>$B$3*E37</f>
        <v>120</v>
      </c>
      <c r="G37" s="11" t="s">
        <v>103</v>
      </c>
      <c r="H37" s="7">
        <v>0.6</v>
      </c>
      <c r="I37" s="52">
        <f>$B$4*H37</f>
        <v>84</v>
      </c>
      <c r="J37" s="6" t="s">
        <v>36</v>
      </c>
      <c r="K37" s="8"/>
      <c r="L37" s="43"/>
    </row>
    <row r="38" spans="1:12" outlineLevel="1" x14ac:dyDescent="0.15">
      <c r="A38" s="6" t="s">
        <v>103</v>
      </c>
      <c r="B38" s="7">
        <v>0.7</v>
      </c>
      <c r="C38" s="42">
        <f>$B$3*B38</f>
        <v>140</v>
      </c>
      <c r="D38" s="6" t="s">
        <v>105</v>
      </c>
      <c r="E38" s="7">
        <v>0.7</v>
      </c>
      <c r="F38" s="42">
        <f t="shared" ref="F38:F39" si="6">$B$3*E38</f>
        <v>140</v>
      </c>
      <c r="G38" s="11" t="s">
        <v>103</v>
      </c>
      <c r="H38" s="7">
        <v>0.7</v>
      </c>
      <c r="I38" s="52">
        <f t="shared" ref="I38:I40" si="7">$B$4*H38</f>
        <v>98</v>
      </c>
      <c r="J38" s="6" t="s">
        <v>37</v>
      </c>
      <c r="K38" s="8"/>
      <c r="L38" s="43"/>
    </row>
    <row r="39" spans="1:12" outlineLevel="1" x14ac:dyDescent="0.15">
      <c r="A39" s="6" t="s">
        <v>104</v>
      </c>
      <c r="B39" s="7">
        <v>0.8</v>
      </c>
      <c r="C39" s="42">
        <f>$B$3*B39</f>
        <v>160</v>
      </c>
      <c r="D39" s="6" t="s">
        <v>135</v>
      </c>
      <c r="E39" s="7">
        <v>0.8</v>
      </c>
      <c r="F39" s="42">
        <f t="shared" si="6"/>
        <v>160</v>
      </c>
      <c r="G39" s="11" t="s">
        <v>152</v>
      </c>
      <c r="H39" s="7">
        <v>0.8</v>
      </c>
      <c r="I39" s="52">
        <f t="shared" si="7"/>
        <v>112</v>
      </c>
      <c r="J39" s="6"/>
      <c r="K39" s="8"/>
      <c r="L39" s="43"/>
    </row>
    <row r="40" spans="1:12" outlineLevel="1" x14ac:dyDescent="0.15">
      <c r="A40" s="6"/>
      <c r="B40" s="8"/>
      <c r="C40" s="43"/>
      <c r="D40" s="6"/>
      <c r="E40" s="8"/>
      <c r="F40" s="43"/>
      <c r="G40" s="11" t="s">
        <v>174</v>
      </c>
      <c r="H40" s="7">
        <v>0.9</v>
      </c>
      <c r="I40" s="52">
        <f t="shared" si="7"/>
        <v>126</v>
      </c>
      <c r="J40" s="29" t="s">
        <v>38</v>
      </c>
      <c r="K40" s="8"/>
      <c r="L40" s="43"/>
    </row>
    <row r="41" spans="1:12" outlineLevel="1" x14ac:dyDescent="0.15">
      <c r="A41" s="29" t="s">
        <v>24</v>
      </c>
      <c r="B41" s="8"/>
      <c r="C41" s="43"/>
      <c r="D41" s="29" t="s">
        <v>1</v>
      </c>
      <c r="E41" s="8"/>
      <c r="F41" s="43"/>
      <c r="G41" s="11"/>
      <c r="H41" s="8"/>
      <c r="I41" s="43"/>
      <c r="J41" s="6" t="s">
        <v>163</v>
      </c>
      <c r="K41" s="7">
        <v>0.6</v>
      </c>
      <c r="L41" s="49">
        <f t="shared" ref="L41:L42" si="8">$B$5*K41</f>
        <v>54</v>
      </c>
    </row>
    <row r="42" spans="1:12" outlineLevel="1" x14ac:dyDescent="0.15">
      <c r="A42" s="6" t="s">
        <v>105</v>
      </c>
      <c r="B42" s="7">
        <v>0.6</v>
      </c>
      <c r="C42" s="28">
        <f t="shared" ref="C42:C44" si="9">$B$7*B42</f>
        <v>57</v>
      </c>
      <c r="D42" s="6" t="s">
        <v>105</v>
      </c>
      <c r="E42" s="7">
        <v>0.6</v>
      </c>
      <c r="F42" s="28">
        <f t="shared" ref="F42:F46" si="10">$B$7*E42</f>
        <v>57</v>
      </c>
      <c r="G42" s="32" t="s">
        <v>24</v>
      </c>
      <c r="H42" s="8"/>
      <c r="I42" s="43"/>
      <c r="J42" s="6" t="s">
        <v>164</v>
      </c>
      <c r="K42" s="7">
        <v>0.7</v>
      </c>
      <c r="L42" s="49">
        <f t="shared" si="8"/>
        <v>62.999999999999993</v>
      </c>
    </row>
    <row r="43" spans="1:12" outlineLevel="1" x14ac:dyDescent="0.15">
      <c r="A43" s="6" t="s">
        <v>105</v>
      </c>
      <c r="B43" s="7">
        <v>0.7</v>
      </c>
      <c r="C43" s="28">
        <f t="shared" si="9"/>
        <v>66.5</v>
      </c>
      <c r="D43" s="6" t="s">
        <v>105</v>
      </c>
      <c r="E43" s="7">
        <v>0.7</v>
      </c>
      <c r="F43" s="28">
        <f t="shared" si="10"/>
        <v>66.5</v>
      </c>
      <c r="G43" s="11" t="s">
        <v>95</v>
      </c>
      <c r="H43" s="7">
        <v>0.6</v>
      </c>
      <c r="I43" s="28">
        <f t="shared" ref="I43:I47" si="11">$B$7*H43</f>
        <v>57</v>
      </c>
      <c r="J43" s="6"/>
      <c r="K43" s="8"/>
      <c r="L43" s="43"/>
    </row>
    <row r="44" spans="1:12" outlineLevel="1" x14ac:dyDescent="0.15">
      <c r="A44" s="6" t="s">
        <v>106</v>
      </c>
      <c r="B44" s="7">
        <v>0.8</v>
      </c>
      <c r="C44" s="28">
        <f t="shared" si="9"/>
        <v>76</v>
      </c>
      <c r="D44" s="6" t="s">
        <v>113</v>
      </c>
      <c r="E44" s="7">
        <v>0.75</v>
      </c>
      <c r="F44" s="28">
        <f t="shared" si="10"/>
        <v>71.25</v>
      </c>
      <c r="G44" s="11" t="s">
        <v>95</v>
      </c>
      <c r="H44" s="7">
        <v>0.7</v>
      </c>
      <c r="I44" s="28">
        <f t="shared" si="11"/>
        <v>66.5</v>
      </c>
      <c r="J44" s="29" t="s">
        <v>39</v>
      </c>
      <c r="K44" s="8"/>
      <c r="L44" s="43"/>
    </row>
    <row r="45" spans="1:12" outlineLevel="1" x14ac:dyDescent="0.15">
      <c r="A45" s="6"/>
      <c r="B45" s="8"/>
      <c r="C45" s="43"/>
      <c r="D45" s="6" t="s">
        <v>95</v>
      </c>
      <c r="E45" s="7">
        <v>0.65</v>
      </c>
      <c r="F45" s="28">
        <f t="shared" si="10"/>
        <v>61.75</v>
      </c>
      <c r="G45" s="11" t="s">
        <v>95</v>
      </c>
      <c r="H45" s="7">
        <v>0.8</v>
      </c>
      <c r="I45" s="28">
        <f t="shared" si="11"/>
        <v>76</v>
      </c>
      <c r="J45" s="6" t="s">
        <v>165</v>
      </c>
      <c r="K45" s="7">
        <v>0.6</v>
      </c>
      <c r="L45" s="50">
        <f t="shared" ref="L45:L46" si="12">$B$8*K45</f>
        <v>69</v>
      </c>
    </row>
    <row r="46" spans="1:12" outlineLevel="1" x14ac:dyDescent="0.15">
      <c r="A46" s="29" t="s">
        <v>25</v>
      </c>
      <c r="B46" s="8"/>
      <c r="C46" s="43"/>
      <c r="D46" s="6" t="s">
        <v>95</v>
      </c>
      <c r="E46" s="7">
        <v>0.7</v>
      </c>
      <c r="F46" s="28">
        <f t="shared" si="10"/>
        <v>66.5</v>
      </c>
      <c r="G46" s="11" t="s">
        <v>113</v>
      </c>
      <c r="H46" s="7">
        <v>0.85</v>
      </c>
      <c r="I46" s="28">
        <f t="shared" si="11"/>
        <v>80.75</v>
      </c>
      <c r="J46" s="6" t="s">
        <v>166</v>
      </c>
      <c r="K46" s="7">
        <v>0.7</v>
      </c>
      <c r="L46" s="50">
        <f t="shared" si="12"/>
        <v>80.5</v>
      </c>
    </row>
    <row r="47" spans="1:12" outlineLevel="1" x14ac:dyDescent="0.15">
      <c r="A47" s="6" t="s">
        <v>107</v>
      </c>
      <c r="B47" s="7">
        <v>0.6</v>
      </c>
      <c r="C47" s="50">
        <f t="shared" ref="C47:C50" si="13">$B$8*B47</f>
        <v>69</v>
      </c>
      <c r="D47" s="6"/>
      <c r="E47" s="8"/>
      <c r="F47" s="43"/>
      <c r="G47" s="11" t="s">
        <v>124</v>
      </c>
      <c r="H47" s="7">
        <v>0.8</v>
      </c>
      <c r="I47" s="28">
        <f t="shared" si="11"/>
        <v>76</v>
      </c>
      <c r="J47" s="6"/>
      <c r="K47" s="8"/>
      <c r="L47" s="43"/>
    </row>
    <row r="48" spans="1:12" outlineLevel="1" x14ac:dyDescent="0.15">
      <c r="A48" s="6" t="s">
        <v>107</v>
      </c>
      <c r="B48" s="7">
        <v>0.7</v>
      </c>
      <c r="C48" s="50">
        <f t="shared" si="13"/>
        <v>80.5</v>
      </c>
      <c r="D48" s="29" t="s">
        <v>30</v>
      </c>
      <c r="E48" s="8"/>
      <c r="F48" s="43"/>
      <c r="G48" s="11"/>
      <c r="H48" s="8"/>
      <c r="I48" s="43"/>
      <c r="J48" s="29" t="s">
        <v>83</v>
      </c>
      <c r="K48" s="8"/>
      <c r="L48" s="43"/>
    </row>
    <row r="49" spans="1:12" outlineLevel="1" x14ac:dyDescent="0.15">
      <c r="A49" s="6" t="s">
        <v>108</v>
      </c>
      <c r="B49" s="7">
        <v>0.8</v>
      </c>
      <c r="C49" s="50">
        <f t="shared" si="13"/>
        <v>92</v>
      </c>
      <c r="D49" s="6" t="s">
        <v>136</v>
      </c>
      <c r="E49" s="7">
        <v>0.6</v>
      </c>
      <c r="F49" s="50">
        <f t="shared" ref="F49:F52" si="14">$B$8*E49</f>
        <v>69</v>
      </c>
      <c r="G49" s="32" t="s">
        <v>25</v>
      </c>
      <c r="H49" s="8"/>
      <c r="I49" s="43"/>
      <c r="J49" s="6" t="s">
        <v>104</v>
      </c>
      <c r="K49" s="7">
        <v>0.9</v>
      </c>
      <c r="L49" s="28">
        <f>$B$7*K49</f>
        <v>85.5</v>
      </c>
    </row>
    <row r="50" spans="1:12" outlineLevel="1" x14ac:dyDescent="0.15">
      <c r="A50" s="6" t="s">
        <v>109</v>
      </c>
      <c r="B50" s="7">
        <v>0.75</v>
      </c>
      <c r="C50" s="50">
        <f t="shared" si="13"/>
        <v>86.25</v>
      </c>
      <c r="D50" s="6" t="s">
        <v>136</v>
      </c>
      <c r="E50" s="7">
        <v>0.7</v>
      </c>
      <c r="F50" s="50">
        <f t="shared" si="14"/>
        <v>80.5</v>
      </c>
      <c r="G50" s="11" t="s">
        <v>108</v>
      </c>
      <c r="H50" s="7">
        <v>0.6</v>
      </c>
      <c r="I50" s="50">
        <f t="shared" ref="I50:I52" si="15">$B$8*H50</f>
        <v>69</v>
      </c>
      <c r="J50" s="6"/>
      <c r="K50" s="8"/>
      <c r="L50" s="43"/>
    </row>
    <row r="51" spans="1:12" outlineLevel="1" x14ac:dyDescent="0.15">
      <c r="A51" s="6"/>
      <c r="B51" s="8"/>
      <c r="C51" s="43"/>
      <c r="D51" s="6" t="s">
        <v>137</v>
      </c>
      <c r="E51" s="7">
        <v>0.75</v>
      </c>
      <c r="F51" s="50">
        <f t="shared" si="14"/>
        <v>86.25</v>
      </c>
      <c r="G51" s="11" t="s">
        <v>108</v>
      </c>
      <c r="H51" s="7">
        <v>0.7</v>
      </c>
      <c r="I51" s="50">
        <f t="shared" si="15"/>
        <v>80.5</v>
      </c>
      <c r="J51" s="29" t="s">
        <v>0</v>
      </c>
      <c r="K51" s="8"/>
      <c r="L51" s="43"/>
    </row>
    <row r="52" spans="1:12" outlineLevel="1" x14ac:dyDescent="0.15">
      <c r="A52" s="29" t="s">
        <v>26</v>
      </c>
      <c r="B52" s="8"/>
      <c r="C52" s="43"/>
      <c r="D52" s="6" t="s">
        <v>138</v>
      </c>
      <c r="E52" s="7">
        <v>0.7</v>
      </c>
      <c r="F52" s="50">
        <f t="shared" si="14"/>
        <v>80.5</v>
      </c>
      <c r="G52" s="11" t="s">
        <v>153</v>
      </c>
      <c r="H52" s="7">
        <v>0.8</v>
      </c>
      <c r="I52" s="50">
        <f t="shared" si="15"/>
        <v>92</v>
      </c>
      <c r="J52" s="6" t="s">
        <v>105</v>
      </c>
      <c r="K52" s="7">
        <v>0.6</v>
      </c>
      <c r="L52" s="42">
        <f t="shared" ref="L52:L57" si="16">$B$3*K52</f>
        <v>120</v>
      </c>
    </row>
    <row r="53" spans="1:12" outlineLevel="1" x14ac:dyDescent="0.15">
      <c r="A53" s="6" t="s">
        <v>105</v>
      </c>
      <c r="B53" s="7">
        <v>0.6</v>
      </c>
      <c r="C53" s="47">
        <f t="shared" ref="C53:C57" si="17">$B$10*B53</f>
        <v>48</v>
      </c>
      <c r="D53" s="6"/>
      <c r="E53" s="8"/>
      <c r="F53" s="43"/>
      <c r="G53" s="11"/>
      <c r="H53" s="8"/>
      <c r="I53" s="43"/>
      <c r="J53" s="6" t="s">
        <v>105</v>
      </c>
      <c r="K53" s="7">
        <v>0.7</v>
      </c>
      <c r="L53" s="42">
        <f t="shared" si="16"/>
        <v>140</v>
      </c>
    </row>
    <row r="54" spans="1:12" outlineLevel="1" x14ac:dyDescent="0.15">
      <c r="A54" s="6" t="s">
        <v>105</v>
      </c>
      <c r="B54" s="7">
        <v>0.7</v>
      </c>
      <c r="C54" s="47">
        <f t="shared" si="17"/>
        <v>56</v>
      </c>
      <c r="D54" s="29" t="s">
        <v>31</v>
      </c>
      <c r="E54" s="8"/>
      <c r="F54" s="43"/>
      <c r="G54" s="32" t="s">
        <v>86</v>
      </c>
      <c r="H54" s="8"/>
      <c r="I54" s="43"/>
      <c r="J54" s="6" t="s">
        <v>105</v>
      </c>
      <c r="K54" s="7">
        <v>0.8</v>
      </c>
      <c r="L54" s="42">
        <f t="shared" si="16"/>
        <v>160</v>
      </c>
    </row>
    <row r="55" spans="1:12" outlineLevel="1" x14ac:dyDescent="0.15">
      <c r="A55" s="6" t="s">
        <v>98</v>
      </c>
      <c r="B55" s="7">
        <v>0.75</v>
      </c>
      <c r="C55" s="47">
        <f t="shared" si="17"/>
        <v>60</v>
      </c>
      <c r="D55" s="6" t="s">
        <v>103</v>
      </c>
      <c r="E55" s="7">
        <v>0.8</v>
      </c>
      <c r="F55" s="51">
        <f>$B$9*E55</f>
        <v>160</v>
      </c>
      <c r="G55" s="11" t="s">
        <v>105</v>
      </c>
      <c r="H55" s="7">
        <v>0.8</v>
      </c>
      <c r="I55" s="46">
        <f t="shared" ref="I55:I56" si="18">$B$6*H55</f>
        <v>88</v>
      </c>
      <c r="J55" s="6" t="s">
        <v>95</v>
      </c>
      <c r="K55" s="7">
        <v>0.85</v>
      </c>
      <c r="L55" s="42">
        <f t="shared" si="16"/>
        <v>170</v>
      </c>
    </row>
    <row r="56" spans="1:12" outlineLevel="1" x14ac:dyDescent="0.15">
      <c r="A56" s="6" t="s">
        <v>105</v>
      </c>
      <c r="B56" s="7">
        <v>0.6</v>
      </c>
      <c r="C56" s="47">
        <f t="shared" si="17"/>
        <v>48</v>
      </c>
      <c r="D56" s="6" t="s">
        <v>118</v>
      </c>
      <c r="E56" s="7">
        <v>0.85</v>
      </c>
      <c r="F56" s="51">
        <f>$B$9*E56</f>
        <v>170</v>
      </c>
      <c r="G56" s="11" t="s">
        <v>118</v>
      </c>
      <c r="H56" s="7">
        <v>0.9</v>
      </c>
      <c r="I56" s="46">
        <f t="shared" si="18"/>
        <v>99</v>
      </c>
      <c r="J56" s="6" t="s">
        <v>105</v>
      </c>
      <c r="K56" s="7">
        <v>0.8</v>
      </c>
      <c r="L56" s="42">
        <f t="shared" si="16"/>
        <v>160</v>
      </c>
    </row>
    <row r="57" spans="1:12" outlineLevel="1" x14ac:dyDescent="0.15">
      <c r="A57" s="6" t="s">
        <v>110</v>
      </c>
      <c r="B57" s="7">
        <v>0.7</v>
      </c>
      <c r="C57" s="47">
        <f t="shared" si="17"/>
        <v>56</v>
      </c>
      <c r="D57" s="6"/>
      <c r="E57" s="8"/>
      <c r="F57" s="43"/>
      <c r="G57" s="11"/>
      <c r="H57" s="8"/>
      <c r="I57" s="43"/>
      <c r="J57" s="6" t="s">
        <v>113</v>
      </c>
      <c r="K57" s="7">
        <v>0.85</v>
      </c>
      <c r="L57" s="42">
        <f t="shared" si="16"/>
        <v>170</v>
      </c>
    </row>
    <row r="58" spans="1:12" outlineLevel="1" x14ac:dyDescent="0.15">
      <c r="A58" s="6"/>
      <c r="B58" s="8"/>
      <c r="C58" s="43"/>
      <c r="D58" s="29" t="s">
        <v>27</v>
      </c>
      <c r="E58" s="8"/>
      <c r="F58" s="43"/>
      <c r="G58" s="11"/>
      <c r="H58" s="8"/>
      <c r="I58" s="43"/>
      <c r="J58" s="6"/>
      <c r="K58" s="8"/>
      <c r="L58" s="43"/>
    </row>
    <row r="59" spans="1:12" outlineLevel="1" x14ac:dyDescent="0.15">
      <c r="A59" s="29" t="s">
        <v>83</v>
      </c>
      <c r="B59" s="8"/>
      <c r="C59" s="43"/>
      <c r="D59" s="6" t="s">
        <v>32</v>
      </c>
      <c r="E59" s="8"/>
      <c r="F59" s="43"/>
      <c r="G59" s="11"/>
      <c r="H59" s="8"/>
      <c r="I59" s="43"/>
      <c r="J59" s="29" t="s">
        <v>27</v>
      </c>
      <c r="K59" s="8"/>
      <c r="L59" s="43"/>
    </row>
    <row r="60" spans="1:12" outlineLevel="1" x14ac:dyDescent="0.15">
      <c r="A60" s="6" t="s">
        <v>111</v>
      </c>
      <c r="B60" s="7">
        <v>0.8</v>
      </c>
      <c r="C60" s="28">
        <f>$B$7*B60</f>
        <v>76</v>
      </c>
      <c r="D60" s="6" t="s">
        <v>33</v>
      </c>
      <c r="E60" s="8"/>
      <c r="F60" s="43"/>
      <c r="G60" s="11"/>
      <c r="H60" s="8"/>
      <c r="I60" s="43"/>
      <c r="J60" s="6" t="s">
        <v>40</v>
      </c>
      <c r="K60" s="8"/>
      <c r="L60" s="43"/>
    </row>
    <row r="61" spans="1:12" outlineLevel="1" x14ac:dyDescent="0.15">
      <c r="A61" s="6"/>
      <c r="B61" s="8"/>
      <c r="C61" s="43"/>
      <c r="D61" s="6"/>
      <c r="E61" s="8"/>
      <c r="F61" s="43"/>
      <c r="G61" s="11"/>
      <c r="H61" s="8"/>
      <c r="I61" s="43"/>
      <c r="J61" s="6" t="s">
        <v>41</v>
      </c>
      <c r="K61" s="8"/>
      <c r="L61" s="43"/>
    </row>
    <row r="62" spans="1:12" outlineLevel="1" x14ac:dyDescent="0.15">
      <c r="A62" s="29" t="s">
        <v>27</v>
      </c>
      <c r="B62" s="8"/>
      <c r="C62" s="43"/>
      <c r="D62" s="6"/>
      <c r="E62" s="8"/>
      <c r="F62" s="43"/>
      <c r="G62" s="11"/>
      <c r="H62" s="8"/>
      <c r="I62" s="43"/>
      <c r="J62" s="6"/>
      <c r="K62" s="8"/>
      <c r="L62" s="43"/>
    </row>
    <row r="63" spans="1:12" outlineLevel="1" x14ac:dyDescent="0.15">
      <c r="A63" s="6" t="s">
        <v>28</v>
      </c>
      <c r="B63" s="8"/>
      <c r="C63" s="43"/>
      <c r="D63" s="6"/>
      <c r="E63" s="8"/>
      <c r="F63" s="43"/>
      <c r="G63" s="11"/>
      <c r="H63" s="8"/>
      <c r="I63" s="43"/>
      <c r="J63" s="6"/>
      <c r="K63" s="8"/>
      <c r="L63" s="43"/>
    </row>
    <row r="64" spans="1:12" outlineLevel="1" x14ac:dyDescent="0.15">
      <c r="A64" s="6"/>
      <c r="B64" s="8"/>
      <c r="C64" s="43"/>
      <c r="D64" s="6"/>
      <c r="E64" s="8"/>
      <c r="F64" s="43"/>
      <c r="G64" s="11"/>
      <c r="H64" s="8"/>
      <c r="I64" s="43"/>
      <c r="J64" s="6"/>
      <c r="K64" s="8"/>
      <c r="L64" s="43"/>
    </row>
    <row r="65" spans="1:12" ht="12" outlineLevel="1" thickBot="1" x14ac:dyDescent="0.2">
      <c r="A65" s="9" t="s">
        <v>29</v>
      </c>
      <c r="B65" s="10"/>
      <c r="C65" s="48"/>
      <c r="D65" s="9"/>
      <c r="E65" s="10"/>
      <c r="F65" s="48"/>
      <c r="G65" s="12"/>
      <c r="H65" s="10"/>
      <c r="I65" s="48"/>
      <c r="J65" s="9"/>
      <c r="K65" s="10"/>
      <c r="L65" s="48"/>
    </row>
    <row r="66" spans="1:12" ht="12" thickBot="1" x14ac:dyDescent="0.2">
      <c r="C66" s="45"/>
      <c r="F66" s="45"/>
      <c r="I66" s="45"/>
      <c r="L66" s="45"/>
    </row>
    <row r="67" spans="1:12" s="13" customFormat="1" ht="15.75" thickBot="1" x14ac:dyDescent="0.3">
      <c r="A67" s="33" t="s">
        <v>12</v>
      </c>
      <c r="B67" s="34" t="s">
        <v>93</v>
      </c>
      <c r="C67" s="40" t="s">
        <v>94</v>
      </c>
      <c r="D67" s="33" t="s">
        <v>13</v>
      </c>
      <c r="E67" s="34" t="s">
        <v>93</v>
      </c>
      <c r="F67" s="40" t="s">
        <v>94</v>
      </c>
      <c r="G67" s="33" t="s">
        <v>14</v>
      </c>
      <c r="H67" s="34" t="s">
        <v>93</v>
      </c>
      <c r="I67" s="40" t="s">
        <v>94</v>
      </c>
      <c r="J67" s="33" t="s">
        <v>15</v>
      </c>
      <c r="K67" s="34" t="s">
        <v>93</v>
      </c>
      <c r="L67" s="40" t="s">
        <v>94</v>
      </c>
    </row>
    <row r="68" spans="1:12" outlineLevel="1" x14ac:dyDescent="0.15">
      <c r="A68" s="30" t="s">
        <v>0</v>
      </c>
      <c r="B68" s="5"/>
      <c r="C68" s="41"/>
      <c r="D68" s="30" t="s">
        <v>1</v>
      </c>
      <c r="E68" s="5"/>
      <c r="F68" s="41"/>
      <c r="G68" s="30" t="s">
        <v>0</v>
      </c>
      <c r="H68" s="5"/>
      <c r="I68" s="41"/>
      <c r="J68" s="30" t="s">
        <v>0</v>
      </c>
      <c r="K68" s="5"/>
      <c r="L68" s="41"/>
    </row>
    <row r="69" spans="1:12" outlineLevel="1" x14ac:dyDescent="0.15">
      <c r="A69" s="6" t="s">
        <v>95</v>
      </c>
      <c r="B69" s="7">
        <v>0.6</v>
      </c>
      <c r="C69" s="42">
        <f>$B$3*B69</f>
        <v>120</v>
      </c>
      <c r="D69" s="6" t="s">
        <v>95</v>
      </c>
      <c r="E69" s="7">
        <v>0.6</v>
      </c>
      <c r="F69" s="28">
        <f t="shared" ref="F69:F74" si="19">$B$7*E69</f>
        <v>57</v>
      </c>
      <c r="G69" s="6" t="s">
        <v>95</v>
      </c>
      <c r="H69" s="7">
        <v>0.6</v>
      </c>
      <c r="I69" s="42">
        <f t="shared" ref="I69:I75" si="20">$B$3*H69</f>
        <v>120</v>
      </c>
      <c r="J69" s="6" t="s">
        <v>95</v>
      </c>
      <c r="K69" s="7">
        <v>0.6</v>
      </c>
      <c r="L69" s="42">
        <f>$B$3*K69</f>
        <v>120</v>
      </c>
    </row>
    <row r="70" spans="1:12" outlineLevel="1" x14ac:dyDescent="0.15">
      <c r="A70" s="6" t="s">
        <v>112</v>
      </c>
      <c r="B70" s="7">
        <v>0.7</v>
      </c>
      <c r="C70" s="42">
        <f>$B$3*B70</f>
        <v>140</v>
      </c>
      <c r="D70" s="6" t="s">
        <v>95</v>
      </c>
      <c r="E70" s="7">
        <v>0.7</v>
      </c>
      <c r="F70" s="28">
        <f t="shared" si="19"/>
        <v>66.5</v>
      </c>
      <c r="G70" s="6" t="s">
        <v>95</v>
      </c>
      <c r="H70" s="7">
        <v>0.7</v>
      </c>
      <c r="I70" s="42">
        <f t="shared" si="20"/>
        <v>140</v>
      </c>
      <c r="J70" s="6" t="s">
        <v>95</v>
      </c>
      <c r="K70" s="7">
        <v>0.7</v>
      </c>
      <c r="L70" s="42">
        <f t="shared" ref="L70:L72" si="21">$B$3*K70</f>
        <v>140</v>
      </c>
    </row>
    <row r="71" spans="1:12" outlineLevel="1" x14ac:dyDescent="0.15">
      <c r="A71" s="6" t="s">
        <v>106</v>
      </c>
      <c r="B71" s="7">
        <v>0.8</v>
      </c>
      <c r="C71" s="42">
        <f>$B$3*B71</f>
        <v>160</v>
      </c>
      <c r="D71" s="6" t="s">
        <v>98</v>
      </c>
      <c r="E71" s="7">
        <v>0.75</v>
      </c>
      <c r="F71" s="28">
        <f t="shared" si="19"/>
        <v>71.25</v>
      </c>
      <c r="G71" s="6" t="s">
        <v>95</v>
      </c>
      <c r="H71" s="7">
        <v>0.8</v>
      </c>
      <c r="I71" s="42">
        <f t="shared" si="20"/>
        <v>160</v>
      </c>
      <c r="J71" s="6" t="s">
        <v>95</v>
      </c>
      <c r="K71" s="7">
        <v>0.8</v>
      </c>
      <c r="L71" s="42">
        <f>$B$3*K71</f>
        <v>160</v>
      </c>
    </row>
    <row r="72" spans="1:12" outlineLevel="1" x14ac:dyDescent="0.15">
      <c r="A72" s="6" t="s">
        <v>113</v>
      </c>
      <c r="B72" s="7">
        <v>0.85</v>
      </c>
      <c r="C72" s="42">
        <f>$B$3*B72</f>
        <v>170</v>
      </c>
      <c r="D72" s="6" t="s">
        <v>95</v>
      </c>
      <c r="E72" s="7">
        <v>0.6</v>
      </c>
      <c r="F72" s="28">
        <f t="shared" si="19"/>
        <v>57</v>
      </c>
      <c r="G72" s="6" t="s">
        <v>95</v>
      </c>
      <c r="H72" s="7">
        <v>0.85</v>
      </c>
      <c r="I72" s="42">
        <f t="shared" si="20"/>
        <v>170</v>
      </c>
      <c r="J72" s="6" t="s">
        <v>141</v>
      </c>
      <c r="K72" s="7">
        <v>0.9</v>
      </c>
      <c r="L72" s="42">
        <f t="shared" si="21"/>
        <v>180</v>
      </c>
    </row>
    <row r="73" spans="1:12" outlineLevel="1" x14ac:dyDescent="0.15">
      <c r="A73" s="6"/>
      <c r="B73" s="8"/>
      <c r="C73" s="43"/>
      <c r="D73" s="6" t="s">
        <v>113</v>
      </c>
      <c r="E73" s="7">
        <v>0.65</v>
      </c>
      <c r="F73" s="28">
        <f t="shared" si="19"/>
        <v>61.75</v>
      </c>
      <c r="G73" s="6" t="s">
        <v>95</v>
      </c>
      <c r="H73" s="7">
        <v>0.9</v>
      </c>
      <c r="I73" s="42">
        <f t="shared" si="20"/>
        <v>180</v>
      </c>
      <c r="J73" s="6"/>
      <c r="K73" s="8"/>
      <c r="L73" s="43"/>
    </row>
    <row r="74" spans="1:12" outlineLevel="1" x14ac:dyDescent="0.15">
      <c r="A74" s="29" t="s">
        <v>42</v>
      </c>
      <c r="B74" s="8"/>
      <c r="C74" s="43"/>
      <c r="D74" s="6" t="s">
        <v>113</v>
      </c>
      <c r="E74" s="7">
        <v>0.7</v>
      </c>
      <c r="F74" s="28">
        <f t="shared" si="19"/>
        <v>66.5</v>
      </c>
      <c r="G74" s="6" t="s">
        <v>95</v>
      </c>
      <c r="H74" s="7">
        <v>0.85</v>
      </c>
      <c r="I74" s="42">
        <f t="shared" si="20"/>
        <v>170</v>
      </c>
      <c r="J74" s="29" t="s">
        <v>1</v>
      </c>
      <c r="K74" s="8"/>
      <c r="L74" s="43"/>
    </row>
    <row r="75" spans="1:12" outlineLevel="1" x14ac:dyDescent="0.15">
      <c r="A75" s="6" t="s">
        <v>114</v>
      </c>
      <c r="B75" s="7">
        <v>0.6</v>
      </c>
      <c r="C75" s="28">
        <f t="shared" ref="C75:C80" si="22">$B$7*B75</f>
        <v>57</v>
      </c>
      <c r="D75" s="6"/>
      <c r="E75" s="8"/>
      <c r="F75" s="43"/>
      <c r="G75" s="6" t="s">
        <v>113</v>
      </c>
      <c r="H75" s="7">
        <v>0.9</v>
      </c>
      <c r="I75" s="42">
        <f t="shared" si="20"/>
        <v>180</v>
      </c>
      <c r="J75" s="6" t="s">
        <v>95</v>
      </c>
      <c r="K75" s="7">
        <v>0.6</v>
      </c>
      <c r="L75" s="28">
        <f t="shared" ref="L75:L81" si="23">$B$7*K75</f>
        <v>57</v>
      </c>
    </row>
    <row r="76" spans="1:12" outlineLevel="1" x14ac:dyDescent="0.15">
      <c r="A76" s="6" t="s">
        <v>95</v>
      </c>
      <c r="B76" s="7">
        <v>0.7</v>
      </c>
      <c r="C76" s="28">
        <f t="shared" si="22"/>
        <v>66.5</v>
      </c>
      <c r="D76" s="29" t="s">
        <v>30</v>
      </c>
      <c r="E76" s="8"/>
      <c r="F76" s="43"/>
      <c r="G76" s="6"/>
      <c r="H76" s="8"/>
      <c r="I76" s="43"/>
      <c r="J76" s="6" t="s">
        <v>95</v>
      </c>
      <c r="K76" s="7">
        <v>0.65</v>
      </c>
      <c r="L76" s="28">
        <f t="shared" si="23"/>
        <v>61.75</v>
      </c>
    </row>
    <row r="77" spans="1:12" outlineLevel="1" x14ac:dyDescent="0.15">
      <c r="A77" s="6" t="s">
        <v>95</v>
      </c>
      <c r="B77" s="7">
        <v>0.8</v>
      </c>
      <c r="C77" s="28">
        <f t="shared" si="22"/>
        <v>76</v>
      </c>
      <c r="D77" s="6" t="s">
        <v>139</v>
      </c>
      <c r="E77" s="7">
        <v>0.6</v>
      </c>
      <c r="F77" s="50">
        <f t="shared" ref="F77:F81" si="24">$B$8*E77</f>
        <v>69</v>
      </c>
      <c r="G77" s="29" t="s">
        <v>42</v>
      </c>
      <c r="H77" s="8"/>
      <c r="I77" s="43"/>
      <c r="J77" s="6" t="s">
        <v>95</v>
      </c>
      <c r="K77" s="7">
        <v>0.7</v>
      </c>
      <c r="L77" s="28">
        <f t="shared" si="23"/>
        <v>66.5</v>
      </c>
    </row>
    <row r="78" spans="1:12" outlineLevel="1" x14ac:dyDescent="0.15">
      <c r="A78" s="6" t="s">
        <v>98</v>
      </c>
      <c r="B78" s="7">
        <v>0.85</v>
      </c>
      <c r="C78" s="28">
        <f t="shared" si="22"/>
        <v>80.75</v>
      </c>
      <c r="D78" s="6" t="s">
        <v>139</v>
      </c>
      <c r="E78" s="7">
        <v>0.7</v>
      </c>
      <c r="F78" s="50">
        <f t="shared" si="24"/>
        <v>80.5</v>
      </c>
      <c r="G78" s="6" t="s">
        <v>113</v>
      </c>
      <c r="H78" s="7">
        <v>0.6</v>
      </c>
      <c r="I78" s="28">
        <f t="shared" ref="I78:I81" si="25">$B$7*H78</f>
        <v>57</v>
      </c>
      <c r="J78" s="6" t="s">
        <v>98</v>
      </c>
      <c r="K78" s="7">
        <v>0.75</v>
      </c>
      <c r="L78" s="28">
        <f t="shared" si="23"/>
        <v>71.25</v>
      </c>
    </row>
    <row r="79" spans="1:12" outlineLevel="1" x14ac:dyDescent="0.15">
      <c r="A79" s="6" t="s">
        <v>113</v>
      </c>
      <c r="B79" s="7">
        <v>0.8</v>
      </c>
      <c r="C79" s="28">
        <f t="shared" si="22"/>
        <v>76</v>
      </c>
      <c r="D79" s="6" t="s">
        <v>140</v>
      </c>
      <c r="E79" s="7">
        <v>0.75</v>
      </c>
      <c r="F79" s="50">
        <f t="shared" si="24"/>
        <v>86.25</v>
      </c>
      <c r="G79" s="6" t="s">
        <v>113</v>
      </c>
      <c r="H79" s="7">
        <v>0.7</v>
      </c>
      <c r="I79" s="28">
        <f t="shared" si="25"/>
        <v>66.5</v>
      </c>
      <c r="J79" s="6" t="s">
        <v>95</v>
      </c>
      <c r="K79" s="7">
        <v>0.6</v>
      </c>
      <c r="L79" s="28">
        <f t="shared" si="23"/>
        <v>57</v>
      </c>
    </row>
    <row r="80" spans="1:12" outlineLevel="1" x14ac:dyDescent="0.15">
      <c r="A80" s="6" t="s">
        <v>98</v>
      </c>
      <c r="B80" s="7">
        <v>0.85</v>
      </c>
      <c r="C80" s="28">
        <f t="shared" si="22"/>
        <v>80.75</v>
      </c>
      <c r="D80" s="6" t="s">
        <v>139</v>
      </c>
      <c r="E80" s="7">
        <v>0.6</v>
      </c>
      <c r="F80" s="50">
        <f t="shared" si="24"/>
        <v>69</v>
      </c>
      <c r="G80" s="6" t="s">
        <v>113</v>
      </c>
      <c r="H80" s="7">
        <v>0.8</v>
      </c>
      <c r="I80" s="28">
        <f t="shared" si="25"/>
        <v>76</v>
      </c>
      <c r="J80" s="6" t="s">
        <v>95</v>
      </c>
      <c r="K80" s="7">
        <v>0.65</v>
      </c>
      <c r="L80" s="28">
        <f t="shared" si="23"/>
        <v>61.75</v>
      </c>
    </row>
    <row r="81" spans="1:12" outlineLevel="1" x14ac:dyDescent="0.15">
      <c r="A81" s="6"/>
      <c r="B81" s="8"/>
      <c r="C81" s="43"/>
      <c r="D81" s="6" t="s">
        <v>139</v>
      </c>
      <c r="E81" s="7">
        <v>0.7</v>
      </c>
      <c r="F81" s="50">
        <f t="shared" si="24"/>
        <v>80.5</v>
      </c>
      <c r="G81" s="6" t="s">
        <v>128</v>
      </c>
      <c r="H81" s="7">
        <v>0.85</v>
      </c>
      <c r="I81" s="28">
        <f t="shared" si="25"/>
        <v>80.75</v>
      </c>
      <c r="J81" s="6" t="s">
        <v>95</v>
      </c>
      <c r="K81" s="7">
        <v>0.7</v>
      </c>
      <c r="L81" s="28">
        <f t="shared" si="23"/>
        <v>66.5</v>
      </c>
    </row>
    <row r="82" spans="1:12" outlineLevel="1" x14ac:dyDescent="0.15">
      <c r="A82" s="29" t="s">
        <v>43</v>
      </c>
      <c r="B82" s="8"/>
      <c r="C82" s="43"/>
      <c r="D82" s="6"/>
      <c r="E82" s="8"/>
      <c r="F82" s="43"/>
      <c r="G82" s="6"/>
      <c r="H82" s="8"/>
      <c r="I82" s="43"/>
      <c r="J82" s="6"/>
      <c r="K82" s="8"/>
      <c r="L82" s="43"/>
    </row>
    <row r="83" spans="1:12" outlineLevel="1" x14ac:dyDescent="0.15">
      <c r="A83" s="6" t="s">
        <v>115</v>
      </c>
      <c r="B83" s="7">
        <v>0.6</v>
      </c>
      <c r="C83" s="50">
        <f t="shared" ref="C83:C88" si="26">$B$8*B83</f>
        <v>69</v>
      </c>
      <c r="D83" s="29" t="s">
        <v>31</v>
      </c>
      <c r="E83" s="8"/>
      <c r="F83" s="43"/>
      <c r="G83" s="29" t="s">
        <v>49</v>
      </c>
      <c r="H83" s="8"/>
      <c r="I83" s="43"/>
      <c r="J83" s="29" t="s">
        <v>50</v>
      </c>
      <c r="K83" s="8"/>
      <c r="L83" s="43"/>
    </row>
    <row r="84" spans="1:12" outlineLevel="1" x14ac:dyDescent="0.15">
      <c r="A84" s="6" t="s">
        <v>115</v>
      </c>
      <c r="B84" s="7">
        <v>0.7</v>
      </c>
      <c r="C84" s="50">
        <f t="shared" si="26"/>
        <v>80.5</v>
      </c>
      <c r="D84" s="6" t="s">
        <v>103</v>
      </c>
      <c r="E84" s="7">
        <v>0.8</v>
      </c>
      <c r="F84" s="51">
        <f t="shared" ref="F84:F86" si="27">$B$9*E84</f>
        <v>160</v>
      </c>
      <c r="G84" s="6" t="s">
        <v>144</v>
      </c>
      <c r="H84" s="7">
        <v>0.6</v>
      </c>
      <c r="I84" s="50">
        <f t="shared" ref="I84:I87" si="28">$B$8*H84</f>
        <v>69</v>
      </c>
      <c r="J84" s="6" t="s">
        <v>95</v>
      </c>
      <c r="K84" s="7">
        <v>0.6</v>
      </c>
      <c r="L84" s="46">
        <f t="shared" ref="L84:L89" si="29">$B$6*K84</f>
        <v>66</v>
      </c>
    </row>
    <row r="85" spans="1:12" outlineLevel="1" x14ac:dyDescent="0.15">
      <c r="A85" s="6" t="s">
        <v>116</v>
      </c>
      <c r="B85" s="7">
        <v>0.8</v>
      </c>
      <c r="C85" s="50">
        <f t="shared" si="26"/>
        <v>92</v>
      </c>
      <c r="D85" s="6" t="s">
        <v>110</v>
      </c>
      <c r="E85" s="7">
        <v>0.9</v>
      </c>
      <c r="F85" s="51">
        <f t="shared" si="27"/>
        <v>180</v>
      </c>
      <c r="G85" s="6" t="s">
        <v>144</v>
      </c>
      <c r="H85" s="7">
        <v>0.7</v>
      </c>
      <c r="I85" s="50">
        <f t="shared" si="28"/>
        <v>80.5</v>
      </c>
      <c r="J85" s="6" t="s">
        <v>95</v>
      </c>
      <c r="K85" s="7">
        <v>0.65</v>
      </c>
      <c r="L85" s="46">
        <f t="shared" si="29"/>
        <v>71.5</v>
      </c>
    </row>
    <row r="86" spans="1:12" outlineLevel="1" x14ac:dyDescent="0.15">
      <c r="A86" s="6" t="s">
        <v>117</v>
      </c>
      <c r="B86" s="7">
        <v>0.85</v>
      </c>
      <c r="C86" s="50">
        <f t="shared" si="26"/>
        <v>97.75</v>
      </c>
      <c r="D86" s="6" t="s">
        <v>141</v>
      </c>
      <c r="E86" s="7">
        <v>1</v>
      </c>
      <c r="F86" s="51">
        <f t="shared" si="27"/>
        <v>200</v>
      </c>
      <c r="G86" s="6" t="s">
        <v>144</v>
      </c>
      <c r="H86" s="7">
        <v>0.8</v>
      </c>
      <c r="I86" s="50">
        <f t="shared" si="28"/>
        <v>92</v>
      </c>
      <c r="J86" s="6" t="s">
        <v>95</v>
      </c>
      <c r="K86" s="7">
        <v>0.7</v>
      </c>
      <c r="L86" s="46">
        <f t="shared" si="29"/>
        <v>77</v>
      </c>
    </row>
    <row r="87" spans="1:12" outlineLevel="1" x14ac:dyDescent="0.15">
      <c r="A87" s="6" t="s">
        <v>116</v>
      </c>
      <c r="B87" s="7">
        <v>0.8</v>
      </c>
      <c r="C87" s="50">
        <f t="shared" si="26"/>
        <v>92</v>
      </c>
      <c r="D87" s="6"/>
      <c r="E87" s="8"/>
      <c r="F87" s="43"/>
      <c r="G87" s="6" t="s">
        <v>154</v>
      </c>
      <c r="H87" s="7">
        <v>0.85</v>
      </c>
      <c r="I87" s="50">
        <f t="shared" si="28"/>
        <v>97.75</v>
      </c>
      <c r="J87" s="6" t="s">
        <v>98</v>
      </c>
      <c r="K87" s="7">
        <v>0.75</v>
      </c>
      <c r="L87" s="46">
        <f t="shared" si="29"/>
        <v>82.5</v>
      </c>
    </row>
    <row r="88" spans="1:12" outlineLevel="1" x14ac:dyDescent="0.15">
      <c r="A88" s="6" t="s">
        <v>117</v>
      </c>
      <c r="B88" s="7">
        <v>0.85</v>
      </c>
      <c r="C88" s="50">
        <f t="shared" si="26"/>
        <v>97.75</v>
      </c>
      <c r="D88" s="29" t="s">
        <v>34</v>
      </c>
      <c r="E88" s="8"/>
      <c r="F88" s="43"/>
      <c r="G88" s="6"/>
      <c r="H88" s="8"/>
      <c r="I88" s="43"/>
      <c r="J88" s="6" t="s">
        <v>95</v>
      </c>
      <c r="K88" s="7">
        <v>0.6</v>
      </c>
      <c r="L88" s="46">
        <f t="shared" si="29"/>
        <v>66</v>
      </c>
    </row>
    <row r="89" spans="1:12" outlineLevel="1" x14ac:dyDescent="0.15">
      <c r="A89" s="6"/>
      <c r="B89" s="8"/>
      <c r="C89" s="43"/>
      <c r="D89" s="6" t="s">
        <v>95</v>
      </c>
      <c r="E89" s="7">
        <v>0.6</v>
      </c>
      <c r="F89" s="52">
        <f t="shared" ref="F89:F95" si="30">$B$4*E89</f>
        <v>84</v>
      </c>
      <c r="G89" s="29" t="s">
        <v>45</v>
      </c>
      <c r="H89" s="8"/>
      <c r="I89" s="43"/>
      <c r="J89" s="6" t="s">
        <v>95</v>
      </c>
      <c r="K89" s="7">
        <v>0.65</v>
      </c>
      <c r="L89" s="46">
        <f t="shared" si="29"/>
        <v>71.5</v>
      </c>
    </row>
    <row r="90" spans="1:12" outlineLevel="1" x14ac:dyDescent="0.15">
      <c r="A90" s="29" t="s">
        <v>44</v>
      </c>
      <c r="B90" s="8"/>
      <c r="C90" s="43"/>
      <c r="D90" s="6" t="s">
        <v>95</v>
      </c>
      <c r="E90" s="7">
        <v>0.7</v>
      </c>
      <c r="F90" s="52">
        <f t="shared" si="30"/>
        <v>98</v>
      </c>
      <c r="G90" s="6" t="s">
        <v>95</v>
      </c>
      <c r="H90" s="7">
        <v>0.6</v>
      </c>
      <c r="I90" s="50">
        <f t="shared" ref="I90:I95" si="31">$B$8*H90</f>
        <v>69</v>
      </c>
      <c r="J90" s="6"/>
      <c r="K90" s="8"/>
      <c r="L90" s="43"/>
    </row>
    <row r="91" spans="1:12" outlineLevel="1" x14ac:dyDescent="0.15">
      <c r="A91" s="6" t="s">
        <v>103</v>
      </c>
      <c r="B91" s="7">
        <v>0.8</v>
      </c>
      <c r="C91" s="46">
        <f t="shared" ref="C91:C92" si="32">$B$6*B91</f>
        <v>88</v>
      </c>
      <c r="D91" s="6" t="s">
        <v>95</v>
      </c>
      <c r="E91" s="7">
        <v>0.8</v>
      </c>
      <c r="F91" s="52">
        <f t="shared" si="30"/>
        <v>112</v>
      </c>
      <c r="G91" s="6" t="s">
        <v>95</v>
      </c>
      <c r="H91" s="7">
        <v>0.65</v>
      </c>
      <c r="I91" s="50">
        <f t="shared" si="31"/>
        <v>74.75</v>
      </c>
      <c r="J91" s="29" t="s">
        <v>86</v>
      </c>
      <c r="K91" s="8"/>
      <c r="L91" s="43"/>
    </row>
    <row r="92" spans="1:12" outlineLevel="1" x14ac:dyDescent="0.15">
      <c r="A92" s="6" t="s">
        <v>118</v>
      </c>
      <c r="B92" s="7">
        <v>0.9</v>
      </c>
      <c r="C92" s="46">
        <f t="shared" si="32"/>
        <v>99</v>
      </c>
      <c r="D92" s="6" t="s">
        <v>113</v>
      </c>
      <c r="E92" s="7">
        <v>0.85</v>
      </c>
      <c r="F92" s="52">
        <f t="shared" si="30"/>
        <v>119</v>
      </c>
      <c r="G92" s="6" t="s">
        <v>95</v>
      </c>
      <c r="H92" s="7">
        <v>0.7</v>
      </c>
      <c r="I92" s="50">
        <f t="shared" si="31"/>
        <v>80.5</v>
      </c>
      <c r="J92" s="6" t="s">
        <v>105</v>
      </c>
      <c r="K92" s="7">
        <v>0.9</v>
      </c>
      <c r="L92" s="46">
        <f t="shared" ref="L92:L96" si="33">$B$6*K92</f>
        <v>99</v>
      </c>
    </row>
    <row r="93" spans="1:12" outlineLevel="1" x14ac:dyDescent="0.15">
      <c r="A93" s="6"/>
      <c r="B93" s="8"/>
      <c r="C93" s="43"/>
      <c r="D93" s="6" t="s">
        <v>98</v>
      </c>
      <c r="E93" s="7">
        <v>0.9</v>
      </c>
      <c r="F93" s="52">
        <f t="shared" si="30"/>
        <v>126</v>
      </c>
      <c r="G93" s="6" t="s">
        <v>155</v>
      </c>
      <c r="H93" s="7">
        <v>0.75</v>
      </c>
      <c r="I93" s="50">
        <f t="shared" si="31"/>
        <v>86.25</v>
      </c>
      <c r="J93" s="6" t="s">
        <v>95</v>
      </c>
      <c r="K93" s="7">
        <v>1</v>
      </c>
      <c r="L93" s="46">
        <f t="shared" si="33"/>
        <v>110</v>
      </c>
    </row>
    <row r="94" spans="1:12" outlineLevel="1" x14ac:dyDescent="0.15">
      <c r="A94" s="29" t="s">
        <v>45</v>
      </c>
      <c r="B94" s="8"/>
      <c r="C94" s="43"/>
      <c r="D94" s="6" t="s">
        <v>95</v>
      </c>
      <c r="E94" s="7">
        <v>0.8</v>
      </c>
      <c r="F94" s="52">
        <f t="shared" si="30"/>
        <v>112</v>
      </c>
      <c r="G94" s="6" t="s">
        <v>95</v>
      </c>
      <c r="H94" s="7">
        <v>0.65</v>
      </c>
      <c r="I94" s="50">
        <f t="shared" si="31"/>
        <v>74.75</v>
      </c>
      <c r="J94" s="6" t="s">
        <v>105</v>
      </c>
      <c r="K94" s="7">
        <v>0.9</v>
      </c>
      <c r="L94" s="46">
        <f t="shared" si="33"/>
        <v>99</v>
      </c>
    </row>
    <row r="95" spans="1:12" outlineLevel="1" x14ac:dyDescent="0.15">
      <c r="A95" s="6" t="s">
        <v>105</v>
      </c>
      <c r="B95" s="7">
        <v>0.6</v>
      </c>
      <c r="C95" s="50">
        <f t="shared" ref="C95:C99" si="34">$B$8*B95</f>
        <v>69</v>
      </c>
      <c r="D95" s="6" t="s">
        <v>98</v>
      </c>
      <c r="E95" s="7">
        <v>0.85</v>
      </c>
      <c r="F95" s="52">
        <f t="shared" si="30"/>
        <v>119</v>
      </c>
      <c r="G95" s="6" t="s">
        <v>113</v>
      </c>
      <c r="H95" s="7">
        <v>0.7</v>
      </c>
      <c r="I95" s="50">
        <f t="shared" si="31"/>
        <v>80.5</v>
      </c>
      <c r="J95" s="6" t="s">
        <v>113</v>
      </c>
      <c r="K95" s="7">
        <v>1</v>
      </c>
      <c r="L95" s="46">
        <f t="shared" si="33"/>
        <v>110</v>
      </c>
    </row>
    <row r="96" spans="1:12" outlineLevel="1" x14ac:dyDescent="0.15">
      <c r="A96" s="6" t="s">
        <v>105</v>
      </c>
      <c r="B96" s="7">
        <v>0.7</v>
      </c>
      <c r="C96" s="50">
        <f t="shared" si="34"/>
        <v>80.5</v>
      </c>
      <c r="D96" s="6"/>
      <c r="E96" s="8"/>
      <c r="F96" s="43"/>
      <c r="G96" s="6"/>
      <c r="H96" s="8"/>
      <c r="I96" s="43"/>
      <c r="J96" s="6" t="s">
        <v>105</v>
      </c>
      <c r="K96" s="7">
        <v>0.9</v>
      </c>
      <c r="L96" s="46">
        <f t="shared" si="33"/>
        <v>99</v>
      </c>
    </row>
    <row r="97" spans="1:12" outlineLevel="1" x14ac:dyDescent="0.15">
      <c r="A97" s="6" t="s">
        <v>113</v>
      </c>
      <c r="B97" s="7">
        <v>0.75</v>
      </c>
      <c r="C97" s="50">
        <f t="shared" si="34"/>
        <v>86.25</v>
      </c>
      <c r="D97" s="29" t="s">
        <v>47</v>
      </c>
      <c r="E97" s="8"/>
      <c r="F97" s="43"/>
      <c r="G97" s="29" t="s">
        <v>82</v>
      </c>
      <c r="H97" s="8"/>
      <c r="I97" s="43"/>
      <c r="J97" s="6"/>
      <c r="K97" s="8"/>
      <c r="L97" s="43"/>
    </row>
    <row r="98" spans="1:12" outlineLevel="1" x14ac:dyDescent="0.15">
      <c r="A98" s="6" t="s">
        <v>105</v>
      </c>
      <c r="B98" s="7">
        <v>0.6</v>
      </c>
      <c r="C98" s="50">
        <f t="shared" si="34"/>
        <v>69</v>
      </c>
      <c r="D98" s="6" t="s">
        <v>48</v>
      </c>
      <c r="E98" s="8"/>
      <c r="F98" s="43"/>
      <c r="G98" s="6" t="s">
        <v>103</v>
      </c>
      <c r="H98" s="7">
        <v>0.9</v>
      </c>
      <c r="I98" s="28">
        <f t="shared" ref="I98:I109" si="35">$B$7*H98</f>
        <v>85.5</v>
      </c>
      <c r="J98" s="29" t="s">
        <v>51</v>
      </c>
      <c r="K98" s="8"/>
      <c r="L98" s="43"/>
    </row>
    <row r="99" spans="1:12" outlineLevel="1" x14ac:dyDescent="0.15">
      <c r="A99" s="6" t="s">
        <v>95</v>
      </c>
      <c r="B99" s="7">
        <v>0.7</v>
      </c>
      <c r="C99" s="50">
        <f t="shared" si="34"/>
        <v>80.5</v>
      </c>
      <c r="D99" s="6" t="s">
        <v>37</v>
      </c>
      <c r="E99" s="8"/>
      <c r="F99" s="43"/>
      <c r="G99" s="6" t="s">
        <v>95</v>
      </c>
      <c r="H99" s="7">
        <v>1</v>
      </c>
      <c r="I99" s="28">
        <f t="shared" si="35"/>
        <v>95</v>
      </c>
      <c r="J99" s="6" t="s">
        <v>167</v>
      </c>
      <c r="K99" s="7">
        <v>0.6</v>
      </c>
      <c r="L99" s="52">
        <f t="shared" ref="L99:L101" si="36">$B$4*K99</f>
        <v>84</v>
      </c>
    </row>
    <row r="100" spans="1:12" outlineLevel="1" x14ac:dyDescent="0.15">
      <c r="A100" s="6"/>
      <c r="B100" s="8"/>
      <c r="C100" s="43"/>
      <c r="D100" s="6"/>
      <c r="E100" s="8"/>
      <c r="F100" s="43"/>
      <c r="G100" s="6" t="s">
        <v>113</v>
      </c>
      <c r="H100" s="7">
        <v>1.1000000000000001</v>
      </c>
      <c r="I100" s="28">
        <f t="shared" si="35"/>
        <v>104.50000000000001</v>
      </c>
      <c r="J100" s="6" t="s">
        <v>167</v>
      </c>
      <c r="K100" s="7">
        <v>0.7</v>
      </c>
      <c r="L100" s="52">
        <f t="shared" si="36"/>
        <v>98</v>
      </c>
    </row>
    <row r="101" spans="1:12" outlineLevel="1" x14ac:dyDescent="0.15">
      <c r="A101" s="29" t="s">
        <v>27</v>
      </c>
      <c r="B101" s="8"/>
      <c r="C101" s="43"/>
      <c r="D101" s="29" t="s">
        <v>27</v>
      </c>
      <c r="E101" s="8"/>
      <c r="F101" s="43"/>
      <c r="G101" s="6" t="s">
        <v>103</v>
      </c>
      <c r="H101" s="7">
        <v>0.9</v>
      </c>
      <c r="I101" s="28">
        <f t="shared" si="35"/>
        <v>85.5</v>
      </c>
      <c r="J101" s="6" t="s">
        <v>168</v>
      </c>
      <c r="K101" s="7">
        <v>0.8</v>
      </c>
      <c r="L101" s="52">
        <f t="shared" si="36"/>
        <v>112</v>
      </c>
    </row>
    <row r="102" spans="1:12" outlineLevel="1" x14ac:dyDescent="0.15">
      <c r="A102" s="6" t="s">
        <v>32</v>
      </c>
      <c r="B102" s="8"/>
      <c r="C102" s="43"/>
      <c r="D102" s="6" t="s">
        <v>40</v>
      </c>
      <c r="E102" s="8"/>
      <c r="F102" s="43"/>
      <c r="G102" s="6" t="s">
        <v>95</v>
      </c>
      <c r="H102" s="7">
        <v>1</v>
      </c>
      <c r="I102" s="28">
        <f t="shared" si="35"/>
        <v>95</v>
      </c>
      <c r="J102" s="6"/>
      <c r="K102" s="8"/>
      <c r="L102" s="43"/>
    </row>
    <row r="103" spans="1:12" outlineLevel="1" x14ac:dyDescent="0.15">
      <c r="A103" s="6" t="s">
        <v>46</v>
      </c>
      <c r="B103" s="8"/>
      <c r="C103" s="43"/>
      <c r="D103" s="6" t="s">
        <v>41</v>
      </c>
      <c r="E103" s="8"/>
      <c r="F103" s="43"/>
      <c r="G103" s="6" t="s">
        <v>113</v>
      </c>
      <c r="H103" s="7">
        <v>1.1000000000000001</v>
      </c>
      <c r="I103" s="28">
        <f t="shared" si="35"/>
        <v>104.50000000000001</v>
      </c>
      <c r="J103" s="29" t="s">
        <v>27</v>
      </c>
      <c r="K103" s="8"/>
      <c r="L103" s="43"/>
    </row>
    <row r="104" spans="1:12" outlineLevel="1" x14ac:dyDescent="0.15">
      <c r="A104" s="6"/>
      <c r="B104" s="8"/>
      <c r="C104" s="43"/>
      <c r="D104" s="6"/>
      <c r="E104" s="8"/>
      <c r="F104" s="43"/>
      <c r="G104" s="6" t="s">
        <v>103</v>
      </c>
      <c r="H104" s="7">
        <v>0.9</v>
      </c>
      <c r="I104" s="28">
        <f t="shared" si="35"/>
        <v>85.5</v>
      </c>
      <c r="J104" s="6" t="s">
        <v>52</v>
      </c>
      <c r="K104" s="8"/>
      <c r="L104" s="43"/>
    </row>
    <row r="105" spans="1:12" outlineLevel="1" x14ac:dyDescent="0.15">
      <c r="A105" s="6"/>
      <c r="B105" s="8"/>
      <c r="C105" s="43"/>
      <c r="D105" s="6"/>
      <c r="E105" s="8"/>
      <c r="F105" s="43"/>
      <c r="G105" s="6" t="s">
        <v>95</v>
      </c>
      <c r="H105" s="7">
        <v>1</v>
      </c>
      <c r="I105" s="28">
        <f t="shared" si="35"/>
        <v>95</v>
      </c>
      <c r="J105" s="6" t="s">
        <v>41</v>
      </c>
      <c r="K105" s="8"/>
      <c r="L105" s="43"/>
    </row>
    <row r="106" spans="1:12" outlineLevel="1" x14ac:dyDescent="0.15">
      <c r="A106" s="6"/>
      <c r="B106" s="8"/>
      <c r="C106" s="43"/>
      <c r="D106" s="6"/>
      <c r="E106" s="8"/>
      <c r="F106" s="43"/>
      <c r="G106" s="6" t="s">
        <v>113</v>
      </c>
      <c r="H106" s="7">
        <v>1.1000000000000001</v>
      </c>
      <c r="I106" s="28">
        <f t="shared" si="35"/>
        <v>104.50000000000001</v>
      </c>
      <c r="J106" s="6"/>
      <c r="K106" s="8"/>
      <c r="L106" s="43"/>
    </row>
    <row r="107" spans="1:12" outlineLevel="1" x14ac:dyDescent="0.15">
      <c r="A107" s="6"/>
      <c r="B107" s="8"/>
      <c r="C107" s="43"/>
      <c r="D107" s="6"/>
      <c r="E107" s="8"/>
      <c r="F107" s="43"/>
      <c r="G107" s="6" t="s">
        <v>103</v>
      </c>
      <c r="H107" s="7">
        <v>0.9</v>
      </c>
      <c r="I107" s="28">
        <f t="shared" si="35"/>
        <v>85.5</v>
      </c>
      <c r="J107" s="6"/>
      <c r="K107" s="8"/>
      <c r="L107" s="43"/>
    </row>
    <row r="108" spans="1:12" outlineLevel="1" x14ac:dyDescent="0.15">
      <c r="A108" s="6"/>
      <c r="B108" s="8"/>
      <c r="C108" s="43"/>
      <c r="D108" s="6"/>
      <c r="E108" s="8"/>
      <c r="F108" s="43"/>
      <c r="G108" s="6" t="s">
        <v>95</v>
      </c>
      <c r="H108" s="7">
        <v>1</v>
      </c>
      <c r="I108" s="28">
        <f t="shared" si="35"/>
        <v>95</v>
      </c>
      <c r="J108" s="6"/>
      <c r="K108" s="8"/>
      <c r="L108" s="43"/>
    </row>
    <row r="109" spans="1:12" ht="12" outlineLevel="1" thickBot="1" x14ac:dyDescent="0.2">
      <c r="A109" s="9"/>
      <c r="B109" s="10"/>
      <c r="C109" s="48"/>
      <c r="D109" s="9"/>
      <c r="E109" s="10"/>
      <c r="F109" s="48"/>
      <c r="G109" s="9" t="s">
        <v>113</v>
      </c>
      <c r="H109" s="36">
        <v>1.1000000000000001</v>
      </c>
      <c r="I109" s="37">
        <f t="shared" si="35"/>
        <v>104.50000000000001</v>
      </c>
      <c r="J109" s="9"/>
      <c r="K109" s="10"/>
      <c r="L109" s="48"/>
    </row>
    <row r="110" spans="1:12" ht="12" thickBot="1" x14ac:dyDescent="0.2">
      <c r="C110" s="45"/>
      <c r="F110" s="45"/>
      <c r="I110" s="45"/>
      <c r="L110" s="45"/>
    </row>
    <row r="111" spans="1:12" s="13" customFormat="1" ht="15.75" thickBot="1" x14ac:dyDescent="0.3">
      <c r="A111" s="33" t="s">
        <v>16</v>
      </c>
      <c r="B111" s="34" t="s">
        <v>93</v>
      </c>
      <c r="C111" s="40" t="s">
        <v>94</v>
      </c>
      <c r="D111" s="33" t="s">
        <v>17</v>
      </c>
      <c r="E111" s="34" t="s">
        <v>93</v>
      </c>
      <c r="F111" s="40" t="s">
        <v>94</v>
      </c>
      <c r="G111" s="33" t="s">
        <v>18</v>
      </c>
      <c r="H111" s="34" t="s">
        <v>93</v>
      </c>
      <c r="I111" s="40" t="s">
        <v>94</v>
      </c>
      <c r="J111" s="33" t="s">
        <v>19</v>
      </c>
      <c r="K111" s="34" t="s">
        <v>93</v>
      </c>
      <c r="L111" s="40" t="s">
        <v>94</v>
      </c>
    </row>
    <row r="112" spans="1:12" outlineLevel="1" x14ac:dyDescent="0.15">
      <c r="A112" s="30" t="s">
        <v>53</v>
      </c>
      <c r="B112" s="5"/>
      <c r="C112" s="41"/>
      <c r="D112" s="30" t="s">
        <v>34</v>
      </c>
      <c r="E112" s="5"/>
      <c r="F112" s="41"/>
      <c r="G112" s="30" t="s">
        <v>61</v>
      </c>
      <c r="H112" s="5"/>
      <c r="I112" s="41"/>
      <c r="J112" s="30" t="s">
        <v>0</v>
      </c>
      <c r="K112" s="5"/>
      <c r="L112" s="41"/>
    </row>
    <row r="113" spans="1:12" outlineLevel="1" x14ac:dyDescent="0.15">
      <c r="A113" s="6" t="s">
        <v>119</v>
      </c>
      <c r="B113" s="7">
        <v>0.6</v>
      </c>
      <c r="C113" s="28">
        <f t="shared" ref="C113:C115" si="37">$B$7*B113</f>
        <v>57</v>
      </c>
      <c r="D113" s="6" t="s">
        <v>95</v>
      </c>
      <c r="E113" s="7">
        <v>0.6</v>
      </c>
      <c r="F113" s="52">
        <f t="shared" ref="F113:F119" si="38">$B$4*E113</f>
        <v>84</v>
      </c>
      <c r="G113" s="6" t="s">
        <v>103</v>
      </c>
      <c r="H113" s="7">
        <v>0.6</v>
      </c>
      <c r="I113" s="42">
        <f>$B$3*H113</f>
        <v>120</v>
      </c>
      <c r="J113" s="6" t="s">
        <v>105</v>
      </c>
      <c r="K113" s="7">
        <v>0.6</v>
      </c>
      <c r="L113" s="42">
        <f>$B$3*K113</f>
        <v>120</v>
      </c>
    </row>
    <row r="114" spans="1:12" outlineLevel="1" x14ac:dyDescent="0.15">
      <c r="A114" s="6" t="s">
        <v>119</v>
      </c>
      <c r="B114" s="7">
        <v>0.7</v>
      </c>
      <c r="C114" s="28">
        <f t="shared" si="37"/>
        <v>66.5</v>
      </c>
      <c r="D114" s="6" t="s">
        <v>95</v>
      </c>
      <c r="E114" s="7">
        <v>0.7</v>
      </c>
      <c r="F114" s="52">
        <f t="shared" si="38"/>
        <v>98</v>
      </c>
      <c r="G114" s="6" t="s">
        <v>103</v>
      </c>
      <c r="H114" s="7">
        <v>0.7</v>
      </c>
      <c r="I114" s="42">
        <f>$B$3*H114</f>
        <v>140</v>
      </c>
      <c r="J114" s="6" t="s">
        <v>105</v>
      </c>
      <c r="K114" s="7">
        <v>0.7</v>
      </c>
      <c r="L114" s="42">
        <f>$B$3*K114</f>
        <v>140</v>
      </c>
    </row>
    <row r="115" spans="1:12" outlineLevel="1" x14ac:dyDescent="0.15">
      <c r="A115" s="6" t="s">
        <v>120</v>
      </c>
      <c r="B115" s="7">
        <v>0.8</v>
      </c>
      <c r="C115" s="28">
        <f t="shared" si="37"/>
        <v>76</v>
      </c>
      <c r="D115" s="6" t="s">
        <v>95</v>
      </c>
      <c r="E115" s="7">
        <v>0.8</v>
      </c>
      <c r="F115" s="52">
        <f t="shared" si="38"/>
        <v>112</v>
      </c>
      <c r="G115" s="6" t="s">
        <v>105</v>
      </c>
      <c r="H115" s="7">
        <v>0.8</v>
      </c>
      <c r="I115" s="42">
        <f>$B$3*H115</f>
        <v>160</v>
      </c>
      <c r="J115" s="6" t="s">
        <v>105</v>
      </c>
      <c r="K115" s="7">
        <v>0.8</v>
      </c>
      <c r="L115" s="42">
        <f>$B$3*K115</f>
        <v>160</v>
      </c>
    </row>
    <row r="116" spans="1:12" outlineLevel="1" x14ac:dyDescent="0.15">
      <c r="A116" s="6"/>
      <c r="B116" s="8"/>
      <c r="C116" s="43"/>
      <c r="D116" s="6" t="s">
        <v>95</v>
      </c>
      <c r="E116" s="7">
        <v>0.85</v>
      </c>
      <c r="F116" s="52">
        <f t="shared" si="38"/>
        <v>119</v>
      </c>
      <c r="G116" s="6" t="s">
        <v>105</v>
      </c>
      <c r="H116" s="7">
        <v>0.85</v>
      </c>
      <c r="I116" s="42">
        <f t="shared" ref="I116" si="39">$B$3*H116</f>
        <v>170</v>
      </c>
      <c r="J116" s="6" t="s">
        <v>104</v>
      </c>
      <c r="K116" s="7">
        <v>0.85</v>
      </c>
      <c r="L116" s="42">
        <f t="shared" ref="L116" si="40">$B$3*K116</f>
        <v>170</v>
      </c>
    </row>
    <row r="117" spans="1:12" outlineLevel="1" x14ac:dyDescent="0.15">
      <c r="A117" s="29" t="s">
        <v>54</v>
      </c>
      <c r="B117" s="8"/>
      <c r="C117" s="43"/>
      <c r="D117" s="6" t="s">
        <v>113</v>
      </c>
      <c r="E117" s="7">
        <v>0.9</v>
      </c>
      <c r="F117" s="52">
        <f t="shared" si="38"/>
        <v>126</v>
      </c>
      <c r="G117" s="6"/>
      <c r="H117" s="8"/>
      <c r="I117" s="43"/>
      <c r="J117" s="6"/>
      <c r="K117" s="8"/>
      <c r="L117" s="43"/>
    </row>
    <row r="118" spans="1:12" outlineLevel="1" x14ac:dyDescent="0.15">
      <c r="A118" s="6" t="s">
        <v>121</v>
      </c>
      <c r="B118" s="7">
        <v>0.6</v>
      </c>
      <c r="C118" s="46">
        <f t="shared" ref="C118:C120" si="41">$B$6*B118</f>
        <v>66</v>
      </c>
      <c r="D118" s="6" t="s">
        <v>95</v>
      </c>
      <c r="E118" s="7">
        <v>0.9</v>
      </c>
      <c r="F118" s="52">
        <f t="shared" si="38"/>
        <v>126</v>
      </c>
      <c r="G118" s="29" t="s">
        <v>42</v>
      </c>
      <c r="H118" s="8"/>
      <c r="I118" s="43"/>
      <c r="J118" s="29" t="s">
        <v>42</v>
      </c>
      <c r="K118" s="8"/>
      <c r="L118" s="43"/>
    </row>
    <row r="119" spans="1:12" outlineLevel="1" x14ac:dyDescent="0.15">
      <c r="A119" s="6" t="s">
        <v>121</v>
      </c>
      <c r="B119" s="7">
        <v>0.7</v>
      </c>
      <c r="C119" s="46">
        <f t="shared" si="41"/>
        <v>77</v>
      </c>
      <c r="D119" s="6" t="s">
        <v>95</v>
      </c>
      <c r="E119" s="7">
        <v>0.85</v>
      </c>
      <c r="F119" s="52">
        <f t="shared" si="38"/>
        <v>119</v>
      </c>
      <c r="G119" s="6" t="s">
        <v>113</v>
      </c>
      <c r="H119" s="7">
        <v>0.6</v>
      </c>
      <c r="I119" s="28">
        <f t="shared" ref="I119:I123" si="42">$B$7*H119</f>
        <v>57</v>
      </c>
      <c r="J119" s="6" t="s">
        <v>113</v>
      </c>
      <c r="K119" s="7">
        <v>0.6</v>
      </c>
      <c r="L119" s="28">
        <f t="shared" ref="L119:L123" si="43">$B$7*K119</f>
        <v>57</v>
      </c>
    </row>
    <row r="120" spans="1:12" outlineLevel="1" x14ac:dyDescent="0.15">
      <c r="A120" s="6" t="s">
        <v>122</v>
      </c>
      <c r="B120" s="7">
        <v>0.8</v>
      </c>
      <c r="C120" s="46">
        <f t="shared" si="41"/>
        <v>88</v>
      </c>
      <c r="D120" s="6"/>
      <c r="E120" s="8"/>
      <c r="F120" s="43"/>
      <c r="G120" s="6" t="s">
        <v>113</v>
      </c>
      <c r="H120" s="7">
        <v>0.7</v>
      </c>
      <c r="I120" s="28">
        <f t="shared" si="42"/>
        <v>66.5</v>
      </c>
      <c r="J120" s="6" t="s">
        <v>113</v>
      </c>
      <c r="K120" s="7">
        <v>0.7</v>
      </c>
      <c r="L120" s="28">
        <f t="shared" si="43"/>
        <v>66.5</v>
      </c>
    </row>
    <row r="121" spans="1:12" outlineLevel="1" x14ac:dyDescent="0.15">
      <c r="A121" s="6"/>
      <c r="B121" s="8"/>
      <c r="C121" s="43"/>
      <c r="D121" s="29" t="s">
        <v>60</v>
      </c>
      <c r="E121" s="8"/>
      <c r="F121" s="43"/>
      <c r="G121" s="6" t="s">
        <v>113</v>
      </c>
      <c r="H121" s="7">
        <v>0.8</v>
      </c>
      <c r="I121" s="28">
        <f t="shared" si="42"/>
        <v>76</v>
      </c>
      <c r="J121" s="6" t="s">
        <v>113</v>
      </c>
      <c r="K121" s="7">
        <v>0.8</v>
      </c>
      <c r="L121" s="28">
        <f t="shared" si="43"/>
        <v>76</v>
      </c>
    </row>
    <row r="122" spans="1:12" outlineLevel="1" x14ac:dyDescent="0.15">
      <c r="A122" s="29" t="s">
        <v>55</v>
      </c>
      <c r="B122" s="8"/>
      <c r="C122" s="43"/>
      <c r="D122" s="6" t="s">
        <v>142</v>
      </c>
      <c r="E122" s="7">
        <v>0.6</v>
      </c>
      <c r="F122" s="28">
        <f>$B$7*E122</f>
        <v>57</v>
      </c>
      <c r="G122" s="6" t="s">
        <v>98</v>
      </c>
      <c r="H122" s="7">
        <v>0.85</v>
      </c>
      <c r="I122" s="28">
        <f t="shared" si="42"/>
        <v>80.75</v>
      </c>
      <c r="J122" s="6" t="s">
        <v>98</v>
      </c>
      <c r="K122" s="7">
        <v>0.85</v>
      </c>
      <c r="L122" s="28">
        <f t="shared" si="43"/>
        <v>80.75</v>
      </c>
    </row>
    <row r="123" spans="1:12" outlineLevel="1" x14ac:dyDescent="0.15">
      <c r="A123" s="6" t="s">
        <v>95</v>
      </c>
      <c r="B123" s="7">
        <v>0.6</v>
      </c>
      <c r="C123" s="50">
        <f t="shared" ref="C123:C130" si="44">$B$8*B123</f>
        <v>69</v>
      </c>
      <c r="D123" s="6" t="s">
        <v>142</v>
      </c>
      <c r="E123" s="7">
        <v>0.65</v>
      </c>
      <c r="F123" s="28">
        <f t="shared" ref="F123:F130" si="45">$B$7*E123</f>
        <v>61.75</v>
      </c>
      <c r="G123" s="6" t="s">
        <v>98</v>
      </c>
      <c r="H123" s="7">
        <v>0.9</v>
      </c>
      <c r="I123" s="28">
        <f t="shared" si="42"/>
        <v>85.5</v>
      </c>
      <c r="J123" s="6" t="s">
        <v>98</v>
      </c>
      <c r="K123" s="7">
        <v>0.9</v>
      </c>
      <c r="L123" s="28">
        <f t="shared" si="43"/>
        <v>85.5</v>
      </c>
    </row>
    <row r="124" spans="1:12" outlineLevel="1" x14ac:dyDescent="0.15">
      <c r="A124" s="6" t="s">
        <v>95</v>
      </c>
      <c r="B124" s="7">
        <v>0.7</v>
      </c>
      <c r="C124" s="50">
        <f t="shared" si="44"/>
        <v>80.5</v>
      </c>
      <c r="D124" s="6" t="s">
        <v>143</v>
      </c>
      <c r="E124" s="7">
        <v>0.7</v>
      </c>
      <c r="F124" s="28">
        <f t="shared" si="45"/>
        <v>66.5</v>
      </c>
      <c r="G124" s="6"/>
      <c r="H124" s="8"/>
      <c r="I124" s="43"/>
      <c r="J124" s="6"/>
      <c r="K124" s="8"/>
      <c r="L124" s="43"/>
    </row>
    <row r="125" spans="1:12" outlineLevel="1" x14ac:dyDescent="0.15">
      <c r="A125" s="6" t="s">
        <v>113</v>
      </c>
      <c r="B125" s="7">
        <v>0.8</v>
      </c>
      <c r="C125" s="50">
        <f t="shared" si="44"/>
        <v>92</v>
      </c>
      <c r="D125" s="6" t="s">
        <v>142</v>
      </c>
      <c r="E125" s="7">
        <v>0.6</v>
      </c>
      <c r="F125" s="28">
        <f t="shared" si="45"/>
        <v>57</v>
      </c>
      <c r="G125" s="29" t="s">
        <v>43</v>
      </c>
      <c r="H125" s="8"/>
      <c r="I125" s="43"/>
      <c r="J125" s="29" t="s">
        <v>43</v>
      </c>
      <c r="K125" s="8"/>
      <c r="L125" s="43"/>
    </row>
    <row r="126" spans="1:12" outlineLevel="1" x14ac:dyDescent="0.15">
      <c r="A126" s="6" t="s">
        <v>113</v>
      </c>
      <c r="B126" s="7">
        <v>0.85</v>
      </c>
      <c r="C126" s="50">
        <f t="shared" si="44"/>
        <v>97.75</v>
      </c>
      <c r="D126" s="6" t="s">
        <v>142</v>
      </c>
      <c r="E126" s="7">
        <v>0.65</v>
      </c>
      <c r="F126" s="28">
        <f t="shared" si="45"/>
        <v>61.75</v>
      </c>
      <c r="G126" s="6" t="s">
        <v>144</v>
      </c>
      <c r="H126" s="7">
        <v>0.6</v>
      </c>
      <c r="I126" s="50">
        <f t="shared" ref="I126:I130" si="46">$B$8*H126</f>
        <v>69</v>
      </c>
      <c r="J126" s="6" t="s">
        <v>169</v>
      </c>
      <c r="K126" s="7">
        <v>0.6</v>
      </c>
      <c r="L126" s="50">
        <f t="shared" ref="L126:L130" si="47">$B$8*K126</f>
        <v>69</v>
      </c>
    </row>
    <row r="127" spans="1:12" outlineLevel="1" x14ac:dyDescent="0.15">
      <c r="A127" s="6" t="s">
        <v>98</v>
      </c>
      <c r="B127" s="7">
        <v>0.9</v>
      </c>
      <c r="C127" s="50">
        <f t="shared" si="44"/>
        <v>103.5</v>
      </c>
      <c r="D127" s="6" t="s">
        <v>143</v>
      </c>
      <c r="E127" s="7">
        <v>0.7</v>
      </c>
      <c r="F127" s="28">
        <f t="shared" si="45"/>
        <v>66.5</v>
      </c>
      <c r="G127" s="6" t="s">
        <v>144</v>
      </c>
      <c r="H127" s="7">
        <v>0.7</v>
      </c>
      <c r="I127" s="50">
        <f t="shared" si="46"/>
        <v>80.5</v>
      </c>
      <c r="J127" s="6" t="s">
        <v>169</v>
      </c>
      <c r="K127" s="7">
        <v>0.7</v>
      </c>
      <c r="L127" s="50">
        <f t="shared" si="47"/>
        <v>80.5</v>
      </c>
    </row>
    <row r="128" spans="1:12" outlineLevel="1" x14ac:dyDescent="0.15">
      <c r="A128" s="6" t="s">
        <v>123</v>
      </c>
      <c r="B128" s="7">
        <v>0.95</v>
      </c>
      <c r="C128" s="50">
        <f t="shared" si="44"/>
        <v>109.25</v>
      </c>
      <c r="D128" s="6" t="s">
        <v>142</v>
      </c>
      <c r="E128" s="7">
        <v>0.6</v>
      </c>
      <c r="F128" s="28">
        <f t="shared" si="45"/>
        <v>57</v>
      </c>
      <c r="G128" s="6" t="s">
        <v>144</v>
      </c>
      <c r="H128" s="7">
        <v>0.8</v>
      </c>
      <c r="I128" s="50">
        <f t="shared" si="46"/>
        <v>92</v>
      </c>
      <c r="J128" s="6" t="s">
        <v>169</v>
      </c>
      <c r="K128" s="7">
        <v>0.8</v>
      </c>
      <c r="L128" s="50">
        <f t="shared" si="47"/>
        <v>92</v>
      </c>
    </row>
    <row r="129" spans="1:12" outlineLevel="1" x14ac:dyDescent="0.15">
      <c r="A129" s="6" t="s">
        <v>113</v>
      </c>
      <c r="B129" s="7">
        <v>0.8</v>
      </c>
      <c r="C129" s="50">
        <f t="shared" si="44"/>
        <v>92</v>
      </c>
      <c r="D129" s="6" t="s">
        <v>142</v>
      </c>
      <c r="E129" s="7">
        <v>0.65</v>
      </c>
      <c r="F129" s="28">
        <f t="shared" si="45"/>
        <v>61.75</v>
      </c>
      <c r="G129" s="6" t="s">
        <v>117</v>
      </c>
      <c r="H129" s="7">
        <v>0.85</v>
      </c>
      <c r="I129" s="50">
        <f t="shared" si="46"/>
        <v>97.75</v>
      </c>
      <c r="J129" s="6" t="s">
        <v>170</v>
      </c>
      <c r="K129" s="7">
        <v>0.85</v>
      </c>
      <c r="L129" s="50">
        <f t="shared" si="47"/>
        <v>97.75</v>
      </c>
    </row>
    <row r="130" spans="1:12" outlineLevel="1" x14ac:dyDescent="0.15">
      <c r="A130" s="6" t="s">
        <v>113</v>
      </c>
      <c r="B130" s="7">
        <v>0.85</v>
      </c>
      <c r="C130" s="50">
        <f t="shared" si="44"/>
        <v>97.75</v>
      </c>
      <c r="D130" s="6" t="s">
        <v>143</v>
      </c>
      <c r="E130" s="7">
        <v>0.7</v>
      </c>
      <c r="F130" s="28">
        <f t="shared" si="45"/>
        <v>66.5</v>
      </c>
      <c r="G130" s="6" t="s">
        <v>117</v>
      </c>
      <c r="H130" s="7">
        <v>0.9</v>
      </c>
      <c r="I130" s="50">
        <f t="shared" si="46"/>
        <v>103.5</v>
      </c>
      <c r="J130" s="6" t="s">
        <v>170</v>
      </c>
      <c r="K130" s="7">
        <v>0.9</v>
      </c>
      <c r="L130" s="50">
        <f t="shared" si="47"/>
        <v>103.5</v>
      </c>
    </row>
    <row r="131" spans="1:12" outlineLevel="1" x14ac:dyDescent="0.15">
      <c r="A131" s="6"/>
      <c r="B131" s="8"/>
      <c r="C131" s="43"/>
      <c r="D131" s="6"/>
      <c r="E131" s="8"/>
      <c r="F131" s="43"/>
      <c r="G131" s="6"/>
      <c r="H131" s="8"/>
      <c r="I131" s="43"/>
      <c r="J131" s="6"/>
      <c r="K131" s="8"/>
      <c r="L131" s="43"/>
    </row>
    <row r="132" spans="1:12" outlineLevel="1" x14ac:dyDescent="0.15">
      <c r="A132" s="6" t="s">
        <v>56</v>
      </c>
      <c r="B132" s="8"/>
      <c r="C132" s="43"/>
      <c r="D132" s="29" t="s">
        <v>20</v>
      </c>
      <c r="E132" s="8"/>
      <c r="F132" s="43"/>
      <c r="G132" s="29" t="s">
        <v>83</v>
      </c>
      <c r="H132" s="8"/>
      <c r="I132" s="43"/>
      <c r="J132" s="29" t="s">
        <v>23</v>
      </c>
      <c r="K132" s="8"/>
      <c r="L132" s="43"/>
    </row>
    <row r="133" spans="1:12" outlineLevel="1" x14ac:dyDescent="0.15">
      <c r="A133" s="6"/>
      <c r="B133" s="8"/>
      <c r="C133" s="43"/>
      <c r="D133" s="6" t="s">
        <v>105</v>
      </c>
      <c r="E133" s="7">
        <v>0.9</v>
      </c>
      <c r="F133" s="46">
        <f t="shared" ref="F133:F137" si="48">$B$6*E133</f>
        <v>99</v>
      </c>
      <c r="G133" s="6" t="s">
        <v>118</v>
      </c>
      <c r="H133" s="7">
        <v>1</v>
      </c>
      <c r="I133" s="28">
        <f>$B$7*H133</f>
        <v>95</v>
      </c>
      <c r="J133" s="6" t="s">
        <v>105</v>
      </c>
      <c r="K133" s="7">
        <v>0.6</v>
      </c>
      <c r="L133" s="47">
        <f t="shared" ref="L133:L137" si="49">$B$10*K133</f>
        <v>48</v>
      </c>
    </row>
    <row r="134" spans="1:12" outlineLevel="1" x14ac:dyDescent="0.15">
      <c r="A134" s="29" t="s">
        <v>0</v>
      </c>
      <c r="B134" s="8"/>
      <c r="C134" s="43"/>
      <c r="D134" s="6" t="s">
        <v>95</v>
      </c>
      <c r="E134" s="7">
        <v>1</v>
      </c>
      <c r="F134" s="46">
        <f t="shared" si="48"/>
        <v>110</v>
      </c>
      <c r="G134" s="6"/>
      <c r="H134" s="8"/>
      <c r="I134" s="43"/>
      <c r="J134" s="6" t="s">
        <v>105</v>
      </c>
      <c r="K134" s="7">
        <v>0.65</v>
      </c>
      <c r="L134" s="47">
        <f t="shared" si="49"/>
        <v>52</v>
      </c>
    </row>
    <row r="135" spans="1:12" outlineLevel="1" x14ac:dyDescent="0.15">
      <c r="A135" s="6" t="s">
        <v>105</v>
      </c>
      <c r="B135" s="7">
        <v>0.6</v>
      </c>
      <c r="C135" s="42">
        <f>$B$3*B135</f>
        <v>120</v>
      </c>
      <c r="D135" s="6" t="s">
        <v>105</v>
      </c>
      <c r="E135" s="7">
        <v>0.9</v>
      </c>
      <c r="F135" s="46">
        <f t="shared" si="48"/>
        <v>99</v>
      </c>
      <c r="G135" s="29" t="s">
        <v>47</v>
      </c>
      <c r="H135" s="8"/>
      <c r="I135" s="43"/>
      <c r="J135" s="6" t="s">
        <v>105</v>
      </c>
      <c r="K135" s="7">
        <v>0.7</v>
      </c>
      <c r="L135" s="47">
        <f t="shared" si="49"/>
        <v>56</v>
      </c>
    </row>
    <row r="136" spans="1:12" outlineLevel="1" x14ac:dyDescent="0.15">
      <c r="A136" s="6" t="s">
        <v>105</v>
      </c>
      <c r="B136" s="7">
        <v>0.7</v>
      </c>
      <c r="C136" s="42">
        <f>$B$3*B136</f>
        <v>140</v>
      </c>
      <c r="D136" s="6" t="s">
        <v>113</v>
      </c>
      <c r="E136" s="7">
        <v>1</v>
      </c>
      <c r="F136" s="46">
        <f t="shared" si="48"/>
        <v>110</v>
      </c>
      <c r="G136" s="6" t="s">
        <v>62</v>
      </c>
      <c r="H136" s="8"/>
      <c r="I136" s="43"/>
      <c r="J136" s="6" t="s">
        <v>105</v>
      </c>
      <c r="K136" s="7">
        <v>0.6</v>
      </c>
      <c r="L136" s="47">
        <f t="shared" si="49"/>
        <v>48</v>
      </c>
    </row>
    <row r="137" spans="1:12" outlineLevel="1" x14ac:dyDescent="0.15">
      <c r="A137" s="6" t="s">
        <v>105</v>
      </c>
      <c r="B137" s="7">
        <v>0.8</v>
      </c>
      <c r="C137" s="42">
        <f>$B$3*B137</f>
        <v>160</v>
      </c>
      <c r="D137" s="6" t="s">
        <v>105</v>
      </c>
      <c r="E137" s="7">
        <v>0.9</v>
      </c>
      <c r="F137" s="46">
        <f t="shared" si="48"/>
        <v>99</v>
      </c>
      <c r="G137" s="6" t="s">
        <v>37</v>
      </c>
      <c r="H137" s="8"/>
      <c r="I137" s="43"/>
      <c r="J137" s="6" t="s">
        <v>95</v>
      </c>
      <c r="K137" s="7">
        <v>0.65</v>
      </c>
      <c r="L137" s="47">
        <f t="shared" si="49"/>
        <v>52</v>
      </c>
    </row>
    <row r="138" spans="1:12" outlineLevel="1" x14ac:dyDescent="0.15">
      <c r="A138" s="6" t="s">
        <v>124</v>
      </c>
      <c r="B138" s="7">
        <v>0.85</v>
      </c>
      <c r="C138" s="42">
        <f t="shared" ref="C138" si="50">$B$3*B138</f>
        <v>170</v>
      </c>
      <c r="D138" s="6"/>
      <c r="E138" s="8"/>
      <c r="F138" s="43"/>
      <c r="G138" s="6"/>
      <c r="H138" s="8"/>
      <c r="I138" s="43"/>
      <c r="J138" s="6"/>
      <c r="K138" s="8"/>
      <c r="L138" s="43"/>
    </row>
    <row r="139" spans="1:12" outlineLevel="1" x14ac:dyDescent="0.15">
      <c r="A139" s="6"/>
      <c r="B139" s="8"/>
      <c r="C139" s="43"/>
      <c r="D139" s="6"/>
      <c r="E139" s="8"/>
      <c r="F139" s="43"/>
      <c r="G139" s="29" t="s">
        <v>58</v>
      </c>
      <c r="H139" s="8"/>
      <c r="I139" s="43"/>
      <c r="J139" s="29" t="s">
        <v>83</v>
      </c>
      <c r="K139" s="8"/>
      <c r="L139" s="43"/>
    </row>
    <row r="140" spans="1:12" outlineLevel="1" x14ac:dyDescent="0.15">
      <c r="A140" s="29" t="s">
        <v>47</v>
      </c>
      <c r="B140" s="8"/>
      <c r="C140" s="43"/>
      <c r="D140" s="6"/>
      <c r="E140" s="8"/>
      <c r="F140" s="43"/>
      <c r="G140" s="6" t="s">
        <v>63</v>
      </c>
      <c r="H140" s="8"/>
      <c r="I140" s="43"/>
      <c r="J140" s="6" t="s">
        <v>105</v>
      </c>
      <c r="K140" s="7">
        <v>0.9</v>
      </c>
      <c r="L140" s="28">
        <f t="shared" ref="L140:L147" si="51">$B$7*K140</f>
        <v>85.5</v>
      </c>
    </row>
    <row r="141" spans="1:12" outlineLevel="1" x14ac:dyDescent="0.15">
      <c r="A141" s="6" t="s">
        <v>57</v>
      </c>
      <c r="B141" s="8"/>
      <c r="C141" s="43"/>
      <c r="D141" s="6"/>
      <c r="E141" s="8"/>
      <c r="F141" s="43"/>
      <c r="G141" s="6" t="s">
        <v>37</v>
      </c>
      <c r="H141" s="8"/>
      <c r="I141" s="43"/>
      <c r="J141" s="6" t="s">
        <v>95</v>
      </c>
      <c r="K141" s="7">
        <v>1</v>
      </c>
      <c r="L141" s="28">
        <f t="shared" si="51"/>
        <v>95</v>
      </c>
    </row>
    <row r="142" spans="1:12" outlineLevel="1" x14ac:dyDescent="0.15">
      <c r="A142" s="6" t="s">
        <v>37</v>
      </c>
      <c r="B142" s="8"/>
      <c r="C142" s="43"/>
      <c r="D142" s="6"/>
      <c r="E142" s="8"/>
      <c r="F142" s="43"/>
      <c r="G142" s="6"/>
      <c r="H142" s="8"/>
      <c r="I142" s="43"/>
      <c r="J142" s="6" t="s">
        <v>105</v>
      </c>
      <c r="K142" s="7">
        <v>0.9</v>
      </c>
      <c r="L142" s="28">
        <f t="shared" si="51"/>
        <v>85.5</v>
      </c>
    </row>
    <row r="143" spans="1:12" outlineLevel="1" x14ac:dyDescent="0.15">
      <c r="A143" s="6"/>
      <c r="B143" s="8"/>
      <c r="C143" s="43"/>
      <c r="D143" s="6"/>
      <c r="E143" s="8"/>
      <c r="F143" s="43"/>
      <c r="G143" s="29" t="s">
        <v>27</v>
      </c>
      <c r="H143" s="8"/>
      <c r="I143" s="43"/>
      <c r="J143" s="6" t="s">
        <v>95</v>
      </c>
      <c r="K143" s="7">
        <v>1</v>
      </c>
      <c r="L143" s="28">
        <f t="shared" si="51"/>
        <v>95</v>
      </c>
    </row>
    <row r="144" spans="1:12" outlineLevel="1" x14ac:dyDescent="0.15">
      <c r="A144" s="29" t="s">
        <v>58</v>
      </c>
      <c r="B144" s="8"/>
      <c r="C144" s="43"/>
      <c r="D144" s="6"/>
      <c r="E144" s="8"/>
      <c r="F144" s="43"/>
      <c r="G144" s="6" t="s">
        <v>52</v>
      </c>
      <c r="H144" s="8"/>
      <c r="I144" s="43"/>
      <c r="J144" s="6" t="s">
        <v>105</v>
      </c>
      <c r="K144" s="7">
        <v>0.9</v>
      </c>
      <c r="L144" s="28">
        <f t="shared" si="51"/>
        <v>85.5</v>
      </c>
    </row>
    <row r="145" spans="1:12" outlineLevel="1" x14ac:dyDescent="0.15">
      <c r="A145" s="6" t="s">
        <v>59</v>
      </c>
      <c r="B145" s="8"/>
      <c r="C145" s="43"/>
      <c r="D145" s="6"/>
      <c r="E145" s="8"/>
      <c r="F145" s="43"/>
      <c r="G145" s="6" t="s">
        <v>64</v>
      </c>
      <c r="H145" s="8"/>
      <c r="I145" s="43"/>
      <c r="J145" s="6" t="s">
        <v>95</v>
      </c>
      <c r="K145" s="7">
        <v>1</v>
      </c>
      <c r="L145" s="28">
        <f t="shared" si="51"/>
        <v>95</v>
      </c>
    </row>
    <row r="146" spans="1:12" outlineLevel="1" x14ac:dyDescent="0.15">
      <c r="A146" s="6" t="s">
        <v>37</v>
      </c>
      <c r="B146" s="8"/>
      <c r="C146" s="43"/>
      <c r="D146" s="6"/>
      <c r="E146" s="8"/>
      <c r="F146" s="43"/>
      <c r="G146" s="6"/>
      <c r="H146" s="8"/>
      <c r="I146" s="43"/>
      <c r="J146" s="6" t="s">
        <v>105</v>
      </c>
      <c r="K146" s="7">
        <v>0.9</v>
      </c>
      <c r="L146" s="28">
        <f t="shared" si="51"/>
        <v>85.5</v>
      </c>
    </row>
    <row r="147" spans="1:12" outlineLevel="1" x14ac:dyDescent="0.15">
      <c r="A147" s="6"/>
      <c r="B147" s="8"/>
      <c r="C147" s="43"/>
      <c r="D147" s="6"/>
      <c r="E147" s="8"/>
      <c r="F147" s="43"/>
      <c r="G147" s="6"/>
      <c r="H147" s="8"/>
      <c r="I147" s="43"/>
      <c r="J147" s="6" t="s">
        <v>95</v>
      </c>
      <c r="K147" s="7">
        <v>1</v>
      </c>
      <c r="L147" s="28">
        <f t="shared" si="51"/>
        <v>95</v>
      </c>
    </row>
    <row r="148" spans="1:12" outlineLevel="1" x14ac:dyDescent="0.15">
      <c r="A148" s="6"/>
      <c r="B148" s="8"/>
      <c r="C148" s="43"/>
      <c r="D148" s="6"/>
      <c r="E148" s="8"/>
      <c r="F148" s="43"/>
      <c r="G148" s="6"/>
      <c r="H148" s="8"/>
      <c r="I148" s="43"/>
      <c r="J148" s="6"/>
      <c r="K148" s="8"/>
      <c r="L148" s="43"/>
    </row>
    <row r="149" spans="1:12" outlineLevel="1" x14ac:dyDescent="0.15">
      <c r="A149" s="6"/>
      <c r="B149" s="8"/>
      <c r="C149" s="43"/>
      <c r="D149" s="6"/>
      <c r="E149" s="8"/>
      <c r="F149" s="43"/>
      <c r="G149" s="6"/>
      <c r="H149" s="8"/>
      <c r="I149" s="43"/>
      <c r="J149" s="29" t="s">
        <v>65</v>
      </c>
      <c r="K149" s="8"/>
      <c r="L149" s="43"/>
    </row>
    <row r="150" spans="1:12" outlineLevel="1" x14ac:dyDescent="0.15">
      <c r="A150" s="6"/>
      <c r="B150" s="8"/>
      <c r="C150" s="43"/>
      <c r="D150" s="6"/>
      <c r="E150" s="8"/>
      <c r="F150" s="43"/>
      <c r="G150" s="6"/>
      <c r="H150" s="8"/>
      <c r="I150" s="43"/>
      <c r="J150" s="6" t="s">
        <v>59</v>
      </c>
      <c r="K150" s="8"/>
      <c r="L150" s="43"/>
    </row>
    <row r="151" spans="1:12" ht="12" outlineLevel="1" thickBot="1" x14ac:dyDescent="0.2">
      <c r="A151" s="9"/>
      <c r="B151" s="10"/>
      <c r="C151" s="48"/>
      <c r="D151" s="9"/>
      <c r="E151" s="10"/>
      <c r="F151" s="48"/>
      <c r="G151" s="9"/>
      <c r="H151" s="10"/>
      <c r="I151" s="48"/>
      <c r="J151" s="9" t="s">
        <v>37</v>
      </c>
      <c r="K151" s="10"/>
      <c r="L151" s="48"/>
    </row>
    <row r="152" spans="1:12" ht="12" thickBot="1" x14ac:dyDescent="0.2">
      <c r="C152" s="45"/>
      <c r="F152" s="45"/>
      <c r="I152" s="45"/>
      <c r="L152" s="45"/>
    </row>
    <row r="153" spans="1:12" s="13" customFormat="1" ht="15.75" thickBot="1" x14ac:dyDescent="0.3">
      <c r="A153" s="33" t="s">
        <v>66</v>
      </c>
      <c r="B153" s="34" t="s">
        <v>93</v>
      </c>
      <c r="C153" s="40" t="s">
        <v>94</v>
      </c>
      <c r="D153" s="33" t="s">
        <v>67</v>
      </c>
      <c r="E153" s="34" t="s">
        <v>93</v>
      </c>
      <c r="F153" s="40" t="s">
        <v>94</v>
      </c>
      <c r="G153" s="33" t="s">
        <v>68</v>
      </c>
      <c r="H153" s="34" t="s">
        <v>93</v>
      </c>
      <c r="I153" s="40" t="s">
        <v>94</v>
      </c>
      <c r="J153" s="33" t="s">
        <v>69</v>
      </c>
      <c r="K153" s="34" t="s">
        <v>93</v>
      </c>
      <c r="L153" s="40" t="s">
        <v>94</v>
      </c>
    </row>
    <row r="154" spans="1:12" outlineLevel="1" x14ac:dyDescent="0.15">
      <c r="A154" s="30" t="s">
        <v>0</v>
      </c>
      <c r="B154" s="5"/>
      <c r="C154" s="41"/>
      <c r="D154" s="30" t="s">
        <v>34</v>
      </c>
      <c r="E154" s="5"/>
      <c r="F154" s="41"/>
      <c r="G154" s="30" t="s">
        <v>0</v>
      </c>
      <c r="H154" s="5"/>
      <c r="I154" s="41"/>
      <c r="J154" s="30" t="s">
        <v>0</v>
      </c>
      <c r="K154" s="5"/>
      <c r="L154" s="41"/>
    </row>
    <row r="155" spans="1:12" outlineLevel="1" x14ac:dyDescent="0.15">
      <c r="A155" s="6" t="s">
        <v>95</v>
      </c>
      <c r="B155" s="7">
        <v>0.6</v>
      </c>
      <c r="C155" s="42">
        <f>$B$3*B155</f>
        <v>120</v>
      </c>
      <c r="D155" s="6" t="s">
        <v>105</v>
      </c>
      <c r="E155" s="7">
        <v>0.6</v>
      </c>
      <c r="F155" s="52">
        <f t="shared" ref="F155:F160" si="52">$B$4*E155</f>
        <v>84</v>
      </c>
      <c r="G155" s="6" t="s">
        <v>95</v>
      </c>
      <c r="H155" s="7">
        <v>0.6</v>
      </c>
      <c r="I155" s="42">
        <f>$B$3*H155</f>
        <v>120</v>
      </c>
      <c r="J155" s="6" t="s">
        <v>105</v>
      </c>
      <c r="K155" s="7">
        <v>0.6</v>
      </c>
      <c r="L155" s="42">
        <f>$B$3*K155</f>
        <v>120</v>
      </c>
    </row>
    <row r="156" spans="1:12" outlineLevel="1" x14ac:dyDescent="0.15">
      <c r="A156" s="6" t="s">
        <v>95</v>
      </c>
      <c r="B156" s="7">
        <v>0.7</v>
      </c>
      <c r="C156" s="42">
        <f>$B$3*B156</f>
        <v>140</v>
      </c>
      <c r="D156" s="6" t="s">
        <v>105</v>
      </c>
      <c r="E156" s="7">
        <v>0.7</v>
      </c>
      <c r="F156" s="52">
        <f t="shared" si="52"/>
        <v>98</v>
      </c>
      <c r="G156" s="6" t="s">
        <v>95</v>
      </c>
      <c r="H156" s="7">
        <v>0.7</v>
      </c>
      <c r="I156" s="42">
        <f>$B$3*H156</f>
        <v>140</v>
      </c>
      <c r="J156" s="6" t="s">
        <v>105</v>
      </c>
      <c r="K156" s="7">
        <v>0.7</v>
      </c>
      <c r="L156" s="42">
        <f>$B$3*K156</f>
        <v>140</v>
      </c>
    </row>
    <row r="157" spans="1:12" outlineLevel="1" x14ac:dyDescent="0.15">
      <c r="A157" s="6" t="s">
        <v>95</v>
      </c>
      <c r="B157" s="7">
        <v>0.8</v>
      </c>
      <c r="C157" s="42">
        <f>$B$3*B157</f>
        <v>160</v>
      </c>
      <c r="D157" s="6" t="s">
        <v>105</v>
      </c>
      <c r="E157" s="7">
        <v>0.8</v>
      </c>
      <c r="F157" s="52">
        <f t="shared" si="52"/>
        <v>112</v>
      </c>
      <c r="G157" s="6" t="s">
        <v>156</v>
      </c>
      <c r="H157" s="7">
        <v>0.8</v>
      </c>
      <c r="I157" s="42">
        <f>$B$3*H157</f>
        <v>160</v>
      </c>
      <c r="J157" s="6" t="s">
        <v>110</v>
      </c>
      <c r="K157" s="7">
        <v>0.8</v>
      </c>
      <c r="L157" s="42">
        <f>$B$3*K157</f>
        <v>160</v>
      </c>
    </row>
    <row r="158" spans="1:12" outlineLevel="1" x14ac:dyDescent="0.15">
      <c r="A158" s="6" t="s">
        <v>95</v>
      </c>
      <c r="B158" s="7">
        <v>0.85</v>
      </c>
      <c r="C158" s="42">
        <f t="shared" ref="C158" si="53">$B$3*B158</f>
        <v>170</v>
      </c>
      <c r="D158" s="6" t="s">
        <v>105</v>
      </c>
      <c r="E158" s="7">
        <v>0.85</v>
      </c>
      <c r="F158" s="52">
        <f t="shared" si="52"/>
        <v>119</v>
      </c>
      <c r="G158" s="6"/>
      <c r="H158" s="8"/>
      <c r="I158" s="43"/>
      <c r="J158" s="6"/>
      <c r="K158" s="8"/>
      <c r="L158" s="43"/>
    </row>
    <row r="159" spans="1:12" outlineLevel="1" x14ac:dyDescent="0.15">
      <c r="A159" s="6"/>
      <c r="B159" s="8"/>
      <c r="C159" s="43"/>
      <c r="D159" s="6" t="s">
        <v>105</v>
      </c>
      <c r="E159" s="7">
        <v>0.8</v>
      </c>
      <c r="F159" s="52">
        <f t="shared" si="52"/>
        <v>112</v>
      </c>
      <c r="G159" s="29" t="s">
        <v>38</v>
      </c>
      <c r="H159" s="8"/>
      <c r="I159" s="43"/>
      <c r="J159" s="29" t="s">
        <v>87</v>
      </c>
      <c r="K159" s="8"/>
      <c r="L159" s="43"/>
    </row>
    <row r="160" spans="1:12" outlineLevel="1" x14ac:dyDescent="0.15">
      <c r="A160" s="29" t="s">
        <v>1</v>
      </c>
      <c r="B160" s="8"/>
      <c r="C160" s="43"/>
      <c r="D160" s="6" t="s">
        <v>105</v>
      </c>
      <c r="E160" s="7">
        <v>0.85</v>
      </c>
      <c r="F160" s="52">
        <f t="shared" si="52"/>
        <v>119</v>
      </c>
      <c r="G160" s="6" t="s">
        <v>157</v>
      </c>
      <c r="H160" s="7">
        <v>0.6</v>
      </c>
      <c r="I160" s="49">
        <f t="shared" ref="I160:I163" si="54">$B$5*H160</f>
        <v>54</v>
      </c>
      <c r="J160" s="6" t="s">
        <v>105</v>
      </c>
      <c r="K160" s="7">
        <v>0.9</v>
      </c>
      <c r="L160" s="28">
        <f t="shared" ref="L160:L161" si="55">$B$7*K160</f>
        <v>85.5</v>
      </c>
    </row>
    <row r="161" spans="1:12" outlineLevel="1" x14ac:dyDescent="0.15">
      <c r="A161" s="6" t="s">
        <v>95</v>
      </c>
      <c r="B161" s="7">
        <v>0.6</v>
      </c>
      <c r="C161" s="28">
        <f t="shared" ref="C161:C162" si="56">$B$7*B161</f>
        <v>57</v>
      </c>
      <c r="D161" s="6"/>
      <c r="E161" s="8"/>
      <c r="F161" s="43"/>
      <c r="G161" s="6" t="s">
        <v>158</v>
      </c>
      <c r="H161" s="7">
        <v>0.7</v>
      </c>
      <c r="I161" s="49">
        <f t="shared" si="54"/>
        <v>62.999999999999993</v>
      </c>
      <c r="J161" s="6" t="s">
        <v>104</v>
      </c>
      <c r="K161" s="7">
        <v>1</v>
      </c>
      <c r="L161" s="28">
        <f t="shared" si="55"/>
        <v>95</v>
      </c>
    </row>
    <row r="162" spans="1:12" outlineLevel="1" x14ac:dyDescent="0.15">
      <c r="A162" s="6" t="s">
        <v>125</v>
      </c>
      <c r="B162" s="7">
        <v>0.7</v>
      </c>
      <c r="C162" s="28">
        <f t="shared" si="56"/>
        <v>66.5</v>
      </c>
      <c r="D162" s="29" t="s">
        <v>42</v>
      </c>
      <c r="E162" s="8"/>
      <c r="F162" s="43"/>
      <c r="G162" s="6" t="s">
        <v>157</v>
      </c>
      <c r="H162" s="7">
        <v>0.6</v>
      </c>
      <c r="I162" s="49">
        <f t="shared" si="54"/>
        <v>54</v>
      </c>
      <c r="J162" s="6"/>
      <c r="K162" s="8"/>
      <c r="L162" s="43"/>
    </row>
    <row r="163" spans="1:12" outlineLevel="1" x14ac:dyDescent="0.15">
      <c r="A163" s="6"/>
      <c r="B163" s="8"/>
      <c r="C163" s="43"/>
      <c r="D163" s="6" t="s">
        <v>113</v>
      </c>
      <c r="E163" s="7">
        <v>0.6</v>
      </c>
      <c r="F163" s="28">
        <f t="shared" ref="F163:F167" si="57">$B$7*E163</f>
        <v>57</v>
      </c>
      <c r="G163" s="6" t="s">
        <v>158</v>
      </c>
      <c r="H163" s="7">
        <v>0.7</v>
      </c>
      <c r="I163" s="49">
        <f t="shared" si="54"/>
        <v>62.999999999999993</v>
      </c>
      <c r="J163" s="29" t="s">
        <v>88</v>
      </c>
      <c r="K163" s="8"/>
      <c r="L163" s="43"/>
    </row>
    <row r="164" spans="1:12" outlineLevel="1" x14ac:dyDescent="0.15">
      <c r="A164" s="29" t="s">
        <v>70</v>
      </c>
      <c r="B164" s="8"/>
      <c r="C164" s="43"/>
      <c r="D164" s="6" t="s">
        <v>113</v>
      </c>
      <c r="E164" s="7">
        <v>0.7</v>
      </c>
      <c r="F164" s="28">
        <f t="shared" si="57"/>
        <v>66.5</v>
      </c>
      <c r="G164" s="6"/>
      <c r="H164" s="8"/>
      <c r="I164" s="43"/>
      <c r="J164" s="6" t="s">
        <v>105</v>
      </c>
      <c r="K164" s="7">
        <v>0.8</v>
      </c>
      <c r="L164" s="46">
        <f t="shared" ref="L164:L169" si="58">$B$6*K164</f>
        <v>88</v>
      </c>
    </row>
    <row r="165" spans="1:12" outlineLevel="1" x14ac:dyDescent="0.15">
      <c r="A165" s="6" t="s">
        <v>126</v>
      </c>
      <c r="B165" s="7">
        <v>0.6</v>
      </c>
      <c r="C165" s="50">
        <f t="shared" ref="C165:C166" si="59">$B$8*B165</f>
        <v>69</v>
      </c>
      <c r="D165" s="6" t="s">
        <v>113</v>
      </c>
      <c r="E165" s="7">
        <v>0.8</v>
      </c>
      <c r="F165" s="28">
        <f t="shared" si="57"/>
        <v>76</v>
      </c>
      <c r="G165" s="29" t="s">
        <v>73</v>
      </c>
      <c r="H165" s="8"/>
      <c r="I165" s="43"/>
      <c r="J165" s="6" t="s">
        <v>95</v>
      </c>
      <c r="K165" s="7">
        <v>0.9</v>
      </c>
      <c r="L165" s="46">
        <f t="shared" si="58"/>
        <v>99</v>
      </c>
    </row>
    <row r="166" spans="1:12" outlineLevel="1" x14ac:dyDescent="0.15">
      <c r="A166" s="6" t="s">
        <v>127</v>
      </c>
      <c r="B166" s="7">
        <v>0.7</v>
      </c>
      <c r="C166" s="50">
        <f t="shared" si="59"/>
        <v>80.5</v>
      </c>
      <c r="D166" s="6" t="s">
        <v>98</v>
      </c>
      <c r="E166" s="7">
        <v>0.85</v>
      </c>
      <c r="F166" s="28">
        <f t="shared" si="57"/>
        <v>80.75</v>
      </c>
      <c r="G166" s="6" t="s">
        <v>159</v>
      </c>
      <c r="H166" s="7">
        <v>0.6</v>
      </c>
      <c r="I166" s="50">
        <f t="shared" ref="I166:I169" si="60">$B$8*H166</f>
        <v>69</v>
      </c>
      <c r="J166" s="6" t="s">
        <v>105</v>
      </c>
      <c r="K166" s="7">
        <v>0.8</v>
      </c>
      <c r="L166" s="46">
        <f t="shared" si="58"/>
        <v>88</v>
      </c>
    </row>
    <row r="167" spans="1:12" outlineLevel="1" x14ac:dyDescent="0.15">
      <c r="A167" s="6"/>
      <c r="B167" s="8"/>
      <c r="C167" s="43"/>
      <c r="D167" s="6" t="s">
        <v>124</v>
      </c>
      <c r="E167" s="7">
        <v>0.8</v>
      </c>
      <c r="F167" s="28">
        <f t="shared" si="57"/>
        <v>76</v>
      </c>
      <c r="G167" s="6" t="s">
        <v>160</v>
      </c>
      <c r="H167" s="7">
        <v>0.7</v>
      </c>
      <c r="I167" s="50">
        <f t="shared" si="60"/>
        <v>80.5</v>
      </c>
      <c r="J167" s="6" t="s">
        <v>95</v>
      </c>
      <c r="K167" s="7">
        <v>0.9</v>
      </c>
      <c r="L167" s="46">
        <f t="shared" si="58"/>
        <v>99</v>
      </c>
    </row>
    <row r="168" spans="1:12" outlineLevel="1" x14ac:dyDescent="0.15">
      <c r="A168" s="29" t="s">
        <v>89</v>
      </c>
      <c r="B168" s="8"/>
      <c r="C168" s="43"/>
      <c r="D168" s="6"/>
      <c r="E168" s="8"/>
      <c r="F168" s="43"/>
      <c r="G168" s="6" t="s">
        <v>159</v>
      </c>
      <c r="H168" s="7">
        <v>0.6</v>
      </c>
      <c r="I168" s="50">
        <f t="shared" si="60"/>
        <v>69</v>
      </c>
      <c r="J168" s="6" t="s">
        <v>105</v>
      </c>
      <c r="K168" s="7">
        <v>0.8</v>
      </c>
      <c r="L168" s="46">
        <f t="shared" si="58"/>
        <v>88</v>
      </c>
    </row>
    <row r="169" spans="1:12" outlineLevel="1" x14ac:dyDescent="0.15">
      <c r="A169" s="6" t="s">
        <v>128</v>
      </c>
      <c r="B169" s="7">
        <v>0.9</v>
      </c>
      <c r="C169" s="46">
        <f>$B$6*B169</f>
        <v>99</v>
      </c>
      <c r="D169" s="29" t="s">
        <v>43</v>
      </c>
      <c r="E169" s="8"/>
      <c r="F169" s="43"/>
      <c r="G169" s="6" t="s">
        <v>160</v>
      </c>
      <c r="H169" s="7">
        <v>0.7</v>
      </c>
      <c r="I169" s="50">
        <f t="shared" si="60"/>
        <v>80.5</v>
      </c>
      <c r="J169" s="6" t="s">
        <v>95</v>
      </c>
      <c r="K169" s="7">
        <v>0.9</v>
      </c>
      <c r="L169" s="46">
        <f t="shared" si="58"/>
        <v>99</v>
      </c>
    </row>
    <row r="170" spans="1:12" outlineLevel="1" x14ac:dyDescent="0.15">
      <c r="A170" s="6"/>
      <c r="B170" s="8"/>
      <c r="C170" s="43"/>
      <c r="D170" s="6" t="s">
        <v>144</v>
      </c>
      <c r="E170" s="7">
        <v>0.6</v>
      </c>
      <c r="F170" s="50">
        <f t="shared" ref="F170:F174" si="61">$B$8*E170</f>
        <v>69</v>
      </c>
      <c r="G170" s="6"/>
      <c r="H170" s="8"/>
      <c r="I170" s="43"/>
      <c r="J170" s="6"/>
      <c r="K170" s="8"/>
      <c r="L170" s="43"/>
    </row>
    <row r="171" spans="1:12" outlineLevel="1" x14ac:dyDescent="0.15">
      <c r="A171" s="29" t="s">
        <v>27</v>
      </c>
      <c r="B171" s="8"/>
      <c r="C171" s="43"/>
      <c r="D171" s="6" t="s">
        <v>144</v>
      </c>
      <c r="E171" s="7">
        <v>0.7</v>
      </c>
      <c r="F171" s="50">
        <f t="shared" si="61"/>
        <v>80.5</v>
      </c>
      <c r="G171" s="6"/>
      <c r="H171" s="8"/>
      <c r="I171" s="43"/>
      <c r="J171" s="29" t="s">
        <v>47</v>
      </c>
      <c r="K171" s="8"/>
      <c r="L171" s="43"/>
    </row>
    <row r="172" spans="1:12" outlineLevel="1" x14ac:dyDescent="0.15">
      <c r="A172" s="6" t="s">
        <v>71</v>
      </c>
      <c r="B172" s="8"/>
      <c r="C172" s="43"/>
      <c r="D172" s="6" t="s">
        <v>144</v>
      </c>
      <c r="E172" s="7">
        <v>0.8</v>
      </c>
      <c r="F172" s="50">
        <f t="shared" si="61"/>
        <v>92</v>
      </c>
      <c r="G172" s="6"/>
      <c r="H172" s="8"/>
      <c r="I172" s="43"/>
      <c r="J172" s="6" t="s">
        <v>74</v>
      </c>
      <c r="K172" s="8"/>
      <c r="L172" s="43"/>
    </row>
    <row r="173" spans="1:12" outlineLevel="1" x14ac:dyDescent="0.15">
      <c r="A173" s="6" t="s">
        <v>41</v>
      </c>
      <c r="B173" s="8"/>
      <c r="C173" s="43"/>
      <c r="D173" s="6" t="s">
        <v>144</v>
      </c>
      <c r="E173" s="7">
        <v>0.85</v>
      </c>
      <c r="F173" s="50">
        <f t="shared" si="61"/>
        <v>97.75</v>
      </c>
      <c r="G173" s="6"/>
      <c r="H173" s="8"/>
      <c r="I173" s="43"/>
      <c r="J173" s="6" t="s">
        <v>75</v>
      </c>
      <c r="K173" s="8"/>
      <c r="L173" s="43"/>
    </row>
    <row r="174" spans="1:12" outlineLevel="1" x14ac:dyDescent="0.15">
      <c r="A174" s="6"/>
      <c r="B174" s="8"/>
      <c r="C174" s="43"/>
      <c r="D174" s="6" t="s">
        <v>145</v>
      </c>
      <c r="E174" s="7">
        <v>0.8</v>
      </c>
      <c r="F174" s="50">
        <f t="shared" si="61"/>
        <v>92</v>
      </c>
      <c r="G174" s="6"/>
      <c r="H174" s="8"/>
      <c r="I174" s="43"/>
      <c r="J174" s="6"/>
      <c r="K174" s="8"/>
      <c r="L174" s="43"/>
    </row>
    <row r="175" spans="1:12" outlineLevel="1" x14ac:dyDescent="0.15">
      <c r="A175" s="6"/>
      <c r="B175" s="8"/>
      <c r="C175" s="43"/>
      <c r="D175" s="6"/>
      <c r="E175" s="8"/>
      <c r="F175" s="43"/>
      <c r="G175" s="6"/>
      <c r="H175" s="8"/>
      <c r="I175" s="43"/>
      <c r="J175" s="6"/>
      <c r="K175" s="8"/>
      <c r="L175" s="43"/>
    </row>
    <row r="176" spans="1:12" outlineLevel="1" x14ac:dyDescent="0.15">
      <c r="A176" s="6"/>
      <c r="B176" s="8"/>
      <c r="C176" s="43"/>
      <c r="D176" s="29" t="s">
        <v>90</v>
      </c>
      <c r="E176" s="8"/>
      <c r="F176" s="43"/>
      <c r="G176" s="6"/>
      <c r="H176" s="8"/>
      <c r="I176" s="43"/>
      <c r="J176" s="6"/>
      <c r="K176" s="8"/>
      <c r="L176" s="43"/>
    </row>
    <row r="177" spans="1:12" outlineLevel="1" x14ac:dyDescent="0.15">
      <c r="A177" s="6"/>
      <c r="B177" s="8"/>
      <c r="C177" s="43"/>
      <c r="D177" s="6" t="s">
        <v>105</v>
      </c>
      <c r="E177" s="7">
        <v>0.8</v>
      </c>
      <c r="F177" s="28">
        <f t="shared" ref="F177:F182" si="62">$B$7*E177</f>
        <v>76</v>
      </c>
      <c r="G177" s="6"/>
      <c r="H177" s="8"/>
      <c r="I177" s="43"/>
      <c r="J177" s="6"/>
      <c r="K177" s="8"/>
      <c r="L177" s="43"/>
    </row>
    <row r="178" spans="1:12" outlineLevel="1" x14ac:dyDescent="0.15">
      <c r="A178" s="6"/>
      <c r="B178" s="8"/>
      <c r="C178" s="43"/>
      <c r="D178" s="6" t="s">
        <v>95</v>
      </c>
      <c r="E178" s="7">
        <v>0.9</v>
      </c>
      <c r="F178" s="28">
        <f t="shared" si="62"/>
        <v>85.5</v>
      </c>
      <c r="G178" s="6"/>
      <c r="H178" s="8"/>
      <c r="I178" s="43"/>
      <c r="J178" s="6"/>
      <c r="K178" s="8"/>
      <c r="L178" s="43"/>
    </row>
    <row r="179" spans="1:12" outlineLevel="1" x14ac:dyDescent="0.15">
      <c r="A179" s="6"/>
      <c r="B179" s="8"/>
      <c r="C179" s="43"/>
      <c r="D179" s="6" t="s">
        <v>105</v>
      </c>
      <c r="E179" s="7">
        <v>0.8</v>
      </c>
      <c r="F179" s="28">
        <f t="shared" si="62"/>
        <v>76</v>
      </c>
      <c r="G179" s="6"/>
      <c r="H179" s="8"/>
      <c r="I179" s="43"/>
      <c r="J179" s="6"/>
      <c r="K179" s="8"/>
      <c r="L179" s="43"/>
    </row>
    <row r="180" spans="1:12" outlineLevel="1" x14ac:dyDescent="0.15">
      <c r="A180" s="6"/>
      <c r="B180" s="8"/>
      <c r="C180" s="43"/>
      <c r="D180" s="6" t="s">
        <v>95</v>
      </c>
      <c r="E180" s="7">
        <v>0.9</v>
      </c>
      <c r="F180" s="28">
        <f t="shared" si="62"/>
        <v>85.5</v>
      </c>
      <c r="G180" s="6"/>
      <c r="H180" s="8"/>
      <c r="I180" s="43"/>
      <c r="J180" s="6"/>
      <c r="K180" s="8"/>
      <c r="L180" s="43"/>
    </row>
    <row r="181" spans="1:12" outlineLevel="1" x14ac:dyDescent="0.15">
      <c r="A181" s="6"/>
      <c r="B181" s="8"/>
      <c r="C181" s="43"/>
      <c r="D181" s="6" t="s">
        <v>105</v>
      </c>
      <c r="E181" s="7">
        <v>0.8</v>
      </c>
      <c r="F181" s="28">
        <f t="shared" si="62"/>
        <v>76</v>
      </c>
      <c r="G181" s="6"/>
      <c r="H181" s="8"/>
      <c r="I181" s="43"/>
      <c r="J181" s="6"/>
      <c r="K181" s="8"/>
      <c r="L181" s="43"/>
    </row>
    <row r="182" spans="1:12" outlineLevel="1" x14ac:dyDescent="0.15">
      <c r="A182" s="6"/>
      <c r="B182" s="8"/>
      <c r="C182" s="43"/>
      <c r="D182" s="6" t="s">
        <v>95</v>
      </c>
      <c r="E182" s="7">
        <v>0.9</v>
      </c>
      <c r="F182" s="28">
        <f t="shared" si="62"/>
        <v>85.5</v>
      </c>
      <c r="G182" s="6"/>
      <c r="H182" s="8"/>
      <c r="I182" s="43"/>
      <c r="J182" s="6"/>
      <c r="K182" s="8"/>
      <c r="L182" s="43"/>
    </row>
    <row r="183" spans="1:12" outlineLevel="1" x14ac:dyDescent="0.15">
      <c r="A183" s="6"/>
      <c r="B183" s="8"/>
      <c r="C183" s="43"/>
      <c r="D183" s="6"/>
      <c r="E183" s="8"/>
      <c r="F183" s="43"/>
      <c r="G183" s="6"/>
      <c r="H183" s="8"/>
      <c r="I183" s="43"/>
      <c r="J183" s="6"/>
      <c r="K183" s="8"/>
      <c r="L183" s="43"/>
    </row>
    <row r="184" spans="1:12" outlineLevel="1" x14ac:dyDescent="0.15">
      <c r="A184" s="6"/>
      <c r="B184" s="8"/>
      <c r="C184" s="43"/>
      <c r="D184" s="29" t="s">
        <v>45</v>
      </c>
      <c r="E184" s="8"/>
      <c r="F184" s="43"/>
      <c r="G184" s="6"/>
      <c r="H184" s="8"/>
      <c r="I184" s="43"/>
      <c r="J184" s="6"/>
      <c r="K184" s="8"/>
      <c r="L184" s="43"/>
    </row>
    <row r="185" spans="1:12" outlineLevel="1" x14ac:dyDescent="0.15">
      <c r="A185" s="6"/>
      <c r="B185" s="8"/>
      <c r="C185" s="43"/>
      <c r="D185" s="6" t="s">
        <v>105</v>
      </c>
      <c r="E185" s="7">
        <v>0.6</v>
      </c>
      <c r="F185" s="47">
        <f t="shared" ref="F185:F189" si="63">$B$10*E185</f>
        <v>48</v>
      </c>
      <c r="G185" s="6"/>
      <c r="H185" s="8"/>
      <c r="I185" s="43"/>
      <c r="J185" s="6"/>
      <c r="K185" s="8"/>
      <c r="L185" s="43"/>
    </row>
    <row r="186" spans="1:12" outlineLevel="1" x14ac:dyDescent="0.15">
      <c r="A186" s="6"/>
      <c r="B186" s="8"/>
      <c r="C186" s="43"/>
      <c r="D186" s="6" t="s">
        <v>105</v>
      </c>
      <c r="E186" s="7">
        <v>0.7</v>
      </c>
      <c r="F186" s="47">
        <f t="shared" si="63"/>
        <v>56</v>
      </c>
      <c r="G186" s="6"/>
      <c r="H186" s="8"/>
      <c r="I186" s="43"/>
      <c r="J186" s="6"/>
      <c r="K186" s="8"/>
      <c r="L186" s="43"/>
    </row>
    <row r="187" spans="1:12" outlineLevel="1" x14ac:dyDescent="0.15">
      <c r="A187" s="6"/>
      <c r="B187" s="8"/>
      <c r="C187" s="43"/>
      <c r="D187" s="6" t="s">
        <v>98</v>
      </c>
      <c r="E187" s="7">
        <v>0.75</v>
      </c>
      <c r="F187" s="47">
        <f t="shared" si="63"/>
        <v>60</v>
      </c>
      <c r="G187" s="6"/>
      <c r="H187" s="8"/>
      <c r="I187" s="43"/>
      <c r="J187" s="6"/>
      <c r="K187" s="8"/>
      <c r="L187" s="43"/>
    </row>
    <row r="188" spans="1:12" outlineLevel="1" x14ac:dyDescent="0.15">
      <c r="A188" s="6"/>
      <c r="B188" s="8"/>
      <c r="C188" s="43"/>
      <c r="D188" s="6" t="s">
        <v>105</v>
      </c>
      <c r="E188" s="7">
        <v>0.6</v>
      </c>
      <c r="F188" s="47">
        <f t="shared" si="63"/>
        <v>48</v>
      </c>
      <c r="G188" s="6"/>
      <c r="H188" s="8"/>
      <c r="I188" s="43"/>
      <c r="J188" s="6"/>
      <c r="K188" s="8"/>
      <c r="L188" s="43"/>
    </row>
    <row r="189" spans="1:12" outlineLevel="1" x14ac:dyDescent="0.15">
      <c r="A189" s="6"/>
      <c r="B189" s="8"/>
      <c r="C189" s="43"/>
      <c r="D189" s="6" t="s">
        <v>95</v>
      </c>
      <c r="E189" s="7">
        <v>0.7</v>
      </c>
      <c r="F189" s="47">
        <f t="shared" si="63"/>
        <v>56</v>
      </c>
      <c r="G189" s="6"/>
      <c r="H189" s="8"/>
      <c r="I189" s="43"/>
      <c r="J189" s="6"/>
      <c r="K189" s="8"/>
      <c r="L189" s="43"/>
    </row>
    <row r="190" spans="1:12" outlineLevel="1" x14ac:dyDescent="0.15">
      <c r="A190" s="6"/>
      <c r="B190" s="8"/>
      <c r="C190" s="43"/>
      <c r="D190" s="6"/>
      <c r="E190" s="8"/>
      <c r="F190" s="43"/>
      <c r="G190" s="6"/>
      <c r="H190" s="8"/>
      <c r="I190" s="43"/>
      <c r="J190" s="6"/>
      <c r="K190" s="8"/>
      <c r="L190" s="43"/>
    </row>
    <row r="191" spans="1:12" outlineLevel="1" x14ac:dyDescent="0.15">
      <c r="A191" s="6"/>
      <c r="B191" s="8"/>
      <c r="C191" s="43"/>
      <c r="D191" s="29" t="s">
        <v>47</v>
      </c>
      <c r="E191" s="8"/>
      <c r="F191" s="43"/>
      <c r="G191" s="6"/>
      <c r="H191" s="8"/>
      <c r="I191" s="43"/>
      <c r="J191" s="6"/>
      <c r="K191" s="8"/>
      <c r="L191" s="43"/>
    </row>
    <row r="192" spans="1:12" outlineLevel="1" x14ac:dyDescent="0.15">
      <c r="A192" s="6"/>
      <c r="B192" s="8"/>
      <c r="C192" s="43"/>
      <c r="D192" s="6" t="s">
        <v>72</v>
      </c>
      <c r="E192" s="8"/>
      <c r="F192" s="43"/>
      <c r="G192" s="6"/>
      <c r="H192" s="8"/>
      <c r="I192" s="43"/>
      <c r="J192" s="6"/>
      <c r="K192" s="8"/>
      <c r="L192" s="43"/>
    </row>
    <row r="193" spans="1:12" ht="12" outlineLevel="1" thickBot="1" x14ac:dyDescent="0.2">
      <c r="A193" s="9"/>
      <c r="B193" s="10"/>
      <c r="C193" s="48"/>
      <c r="D193" s="9" t="s">
        <v>37</v>
      </c>
      <c r="E193" s="10"/>
      <c r="F193" s="48"/>
      <c r="G193" s="9"/>
      <c r="H193" s="10"/>
      <c r="I193" s="48"/>
      <c r="J193" s="9"/>
      <c r="K193" s="10"/>
      <c r="L193" s="48"/>
    </row>
    <row r="194" spans="1:12" ht="12" thickBot="1" x14ac:dyDescent="0.2">
      <c r="C194" s="45"/>
      <c r="F194" s="45"/>
      <c r="I194" s="45"/>
      <c r="L194" s="45"/>
    </row>
    <row r="195" spans="1:12" s="13" customFormat="1" ht="15.75" thickBot="1" x14ac:dyDescent="0.3">
      <c r="A195" s="33" t="s">
        <v>76</v>
      </c>
      <c r="B195" s="34" t="s">
        <v>93</v>
      </c>
      <c r="C195" s="40" t="s">
        <v>94</v>
      </c>
      <c r="D195" s="33" t="s">
        <v>77</v>
      </c>
      <c r="E195" s="34" t="s">
        <v>93</v>
      </c>
      <c r="F195" s="40" t="s">
        <v>94</v>
      </c>
      <c r="G195" s="33" t="s">
        <v>78</v>
      </c>
      <c r="H195" s="34" t="s">
        <v>93</v>
      </c>
      <c r="I195" s="40" t="s">
        <v>94</v>
      </c>
      <c r="J195" s="33" t="s">
        <v>79</v>
      </c>
      <c r="K195" s="34" t="s">
        <v>93</v>
      </c>
      <c r="L195" s="40" t="s">
        <v>94</v>
      </c>
    </row>
    <row r="196" spans="1:12" outlineLevel="1" x14ac:dyDescent="0.15">
      <c r="A196" s="30" t="s">
        <v>0</v>
      </c>
      <c r="B196" s="5"/>
      <c r="C196" s="41"/>
      <c r="D196" s="30" t="s">
        <v>0</v>
      </c>
      <c r="E196" s="5"/>
      <c r="F196" s="41"/>
      <c r="G196" s="30" t="s">
        <v>34</v>
      </c>
      <c r="H196" s="5"/>
      <c r="I196" s="41"/>
      <c r="J196" s="30" t="s">
        <v>0</v>
      </c>
      <c r="K196" s="5"/>
      <c r="L196" s="41"/>
    </row>
    <row r="197" spans="1:12" outlineLevel="1" x14ac:dyDescent="0.15">
      <c r="A197" s="6" t="s">
        <v>103</v>
      </c>
      <c r="B197" s="7">
        <v>0.6</v>
      </c>
      <c r="C197" s="42">
        <f>$B$3*B197</f>
        <v>120</v>
      </c>
      <c r="D197" s="6" t="s">
        <v>95</v>
      </c>
      <c r="E197" s="7">
        <v>0.6</v>
      </c>
      <c r="F197" s="42">
        <f>$B$3*E197</f>
        <v>120</v>
      </c>
      <c r="G197" s="6" t="s">
        <v>105</v>
      </c>
      <c r="H197" s="7">
        <v>0.6</v>
      </c>
      <c r="I197" s="52">
        <f t="shared" ref="I197:I204" si="64">$B$4*H197</f>
        <v>84</v>
      </c>
      <c r="J197" s="6" t="s">
        <v>95</v>
      </c>
      <c r="K197" s="7">
        <v>0.6</v>
      </c>
      <c r="L197" s="42">
        <f>$B$3*K197</f>
        <v>120</v>
      </c>
    </row>
    <row r="198" spans="1:12" outlineLevel="1" x14ac:dyDescent="0.15">
      <c r="A198" s="6" t="s">
        <v>103</v>
      </c>
      <c r="B198" s="7">
        <v>0.7</v>
      </c>
      <c r="C198" s="42">
        <f>$B$3*B198</f>
        <v>140</v>
      </c>
      <c r="D198" s="6" t="s">
        <v>95</v>
      </c>
      <c r="E198" s="7">
        <v>0.7</v>
      </c>
      <c r="F198" s="42">
        <f>$B$3*E198</f>
        <v>140</v>
      </c>
      <c r="G198" s="6" t="s">
        <v>105</v>
      </c>
      <c r="H198" s="7">
        <v>0.7</v>
      </c>
      <c r="I198" s="52">
        <f t="shared" si="64"/>
        <v>98</v>
      </c>
      <c r="J198" s="6" t="s">
        <v>95</v>
      </c>
      <c r="K198" s="7">
        <v>0.7</v>
      </c>
      <c r="L198" s="42">
        <f>$B$3*K198</f>
        <v>140</v>
      </c>
    </row>
    <row r="199" spans="1:12" outlineLevel="1" x14ac:dyDescent="0.15">
      <c r="A199" s="6" t="s">
        <v>111</v>
      </c>
      <c r="B199" s="7">
        <v>0.8</v>
      </c>
      <c r="C199" s="42">
        <f>$B$3*B199</f>
        <v>160</v>
      </c>
      <c r="D199" s="6" t="s">
        <v>95</v>
      </c>
      <c r="E199" s="7">
        <v>0.8</v>
      </c>
      <c r="F199" s="42">
        <f>$B$3*E199</f>
        <v>160</v>
      </c>
      <c r="G199" s="6" t="s">
        <v>105</v>
      </c>
      <c r="H199" s="7">
        <v>0.8</v>
      </c>
      <c r="I199" s="52">
        <f t="shared" si="64"/>
        <v>112</v>
      </c>
      <c r="J199" s="6" t="s">
        <v>95</v>
      </c>
      <c r="K199" s="7">
        <v>0.8</v>
      </c>
      <c r="L199" s="42">
        <f>$B$3*K199</f>
        <v>160</v>
      </c>
    </row>
    <row r="200" spans="1:12" outlineLevel="1" x14ac:dyDescent="0.15">
      <c r="A200" s="6"/>
      <c r="B200" s="8"/>
      <c r="C200" s="43"/>
      <c r="D200" s="6" t="s">
        <v>95</v>
      </c>
      <c r="E200" s="7">
        <v>0.85</v>
      </c>
      <c r="F200" s="42">
        <f>$B$3*E200</f>
        <v>170</v>
      </c>
      <c r="G200" s="6" t="s">
        <v>105</v>
      </c>
      <c r="H200" s="7">
        <v>0.85</v>
      </c>
      <c r="I200" s="52">
        <f t="shared" si="64"/>
        <v>119</v>
      </c>
      <c r="J200" s="6" t="s">
        <v>96</v>
      </c>
      <c r="K200" s="7">
        <v>0.85</v>
      </c>
      <c r="L200" s="42">
        <f>$B$3*K200</f>
        <v>170</v>
      </c>
    </row>
    <row r="201" spans="1:12" outlineLevel="1" x14ac:dyDescent="0.15">
      <c r="A201" s="29" t="s">
        <v>42</v>
      </c>
      <c r="B201" s="8"/>
      <c r="C201" s="43"/>
      <c r="D201" s="6" t="s">
        <v>95</v>
      </c>
      <c r="E201" s="7">
        <v>0.8</v>
      </c>
      <c r="F201" s="42">
        <f>$B$3*E201</f>
        <v>160</v>
      </c>
      <c r="G201" s="6" t="s">
        <v>95</v>
      </c>
      <c r="H201" s="7">
        <v>0.8</v>
      </c>
      <c r="I201" s="52">
        <f t="shared" si="64"/>
        <v>112</v>
      </c>
      <c r="J201" s="6"/>
      <c r="K201" s="8"/>
      <c r="L201" s="43"/>
    </row>
    <row r="202" spans="1:12" outlineLevel="1" x14ac:dyDescent="0.15">
      <c r="A202" s="6" t="s">
        <v>105</v>
      </c>
      <c r="B202" s="7">
        <v>0.6</v>
      </c>
      <c r="C202" s="28">
        <f t="shared" ref="C202:C204" si="65">$B$7*B202</f>
        <v>57</v>
      </c>
      <c r="D202" s="6"/>
      <c r="E202" s="8"/>
      <c r="F202" s="43"/>
      <c r="G202" s="6" t="s">
        <v>95</v>
      </c>
      <c r="H202" s="7">
        <v>0.85</v>
      </c>
      <c r="I202" s="52">
        <f t="shared" si="64"/>
        <v>119</v>
      </c>
      <c r="J202" s="29" t="s">
        <v>38</v>
      </c>
      <c r="K202" s="8"/>
      <c r="L202" s="43"/>
    </row>
    <row r="203" spans="1:12" outlineLevel="1" x14ac:dyDescent="0.15">
      <c r="A203" s="6" t="s">
        <v>105</v>
      </c>
      <c r="B203" s="7">
        <v>0.7</v>
      </c>
      <c r="C203" s="28">
        <f t="shared" si="65"/>
        <v>66.5</v>
      </c>
      <c r="D203" s="29" t="s">
        <v>80</v>
      </c>
      <c r="E203" s="8"/>
      <c r="F203" s="43"/>
      <c r="G203" s="6" t="s">
        <v>95</v>
      </c>
      <c r="H203" s="7">
        <v>0.8</v>
      </c>
      <c r="I203" s="52">
        <f t="shared" si="64"/>
        <v>112</v>
      </c>
      <c r="J203" s="6" t="s">
        <v>163</v>
      </c>
      <c r="K203" s="7">
        <v>0.6</v>
      </c>
      <c r="L203" s="49">
        <f t="shared" ref="L203:L204" si="66">$B$5*K203</f>
        <v>54</v>
      </c>
    </row>
    <row r="204" spans="1:12" outlineLevel="1" x14ac:dyDescent="0.15">
      <c r="A204" s="6" t="s">
        <v>104</v>
      </c>
      <c r="B204" s="7">
        <v>0.8</v>
      </c>
      <c r="C204" s="28">
        <f t="shared" si="65"/>
        <v>76</v>
      </c>
      <c r="D204" s="6" t="s">
        <v>146</v>
      </c>
      <c r="E204" s="7">
        <v>0.6</v>
      </c>
      <c r="F204" s="28">
        <f t="shared" ref="F204:F206" si="67">$B$7*E204</f>
        <v>57</v>
      </c>
      <c r="G204" s="6" t="s">
        <v>95</v>
      </c>
      <c r="H204" s="7">
        <v>0.85</v>
      </c>
      <c r="I204" s="52">
        <f t="shared" si="64"/>
        <v>119</v>
      </c>
      <c r="J204" s="6" t="s">
        <v>171</v>
      </c>
      <c r="K204" s="7">
        <v>0.7</v>
      </c>
      <c r="L204" s="49">
        <f t="shared" si="66"/>
        <v>62.999999999999993</v>
      </c>
    </row>
    <row r="205" spans="1:12" outlineLevel="1" x14ac:dyDescent="0.15">
      <c r="A205" s="6"/>
      <c r="B205" s="8"/>
      <c r="C205" s="43"/>
      <c r="D205" s="6" t="s">
        <v>146</v>
      </c>
      <c r="E205" s="7">
        <v>0.65</v>
      </c>
      <c r="F205" s="28">
        <f t="shared" si="67"/>
        <v>61.75</v>
      </c>
      <c r="G205" s="6"/>
      <c r="H205" s="8"/>
      <c r="I205" s="43"/>
      <c r="J205" s="6"/>
      <c r="K205" s="8"/>
      <c r="L205" s="43"/>
    </row>
    <row r="206" spans="1:12" outlineLevel="1" x14ac:dyDescent="0.15">
      <c r="A206" s="29" t="s">
        <v>43</v>
      </c>
      <c r="B206" s="8"/>
      <c r="C206" s="43"/>
      <c r="D206" s="6" t="s">
        <v>147</v>
      </c>
      <c r="E206" s="7">
        <v>0.7</v>
      </c>
      <c r="F206" s="28">
        <f t="shared" si="67"/>
        <v>66.5</v>
      </c>
      <c r="G206" s="29" t="s">
        <v>42</v>
      </c>
      <c r="H206" s="8"/>
      <c r="I206" s="43"/>
      <c r="J206" s="29" t="s">
        <v>39</v>
      </c>
      <c r="K206" s="8"/>
      <c r="L206" s="43"/>
    </row>
    <row r="207" spans="1:12" outlineLevel="1" x14ac:dyDescent="0.15">
      <c r="A207" s="6" t="s">
        <v>115</v>
      </c>
      <c r="B207" s="7">
        <v>0.6</v>
      </c>
      <c r="C207" s="50">
        <f t="shared" ref="C207:C209" si="68">$B$8*B207</f>
        <v>69</v>
      </c>
      <c r="D207" s="6"/>
      <c r="E207" s="8"/>
      <c r="F207" s="43"/>
      <c r="G207" s="6" t="s">
        <v>95</v>
      </c>
      <c r="H207" s="7">
        <v>0.6</v>
      </c>
      <c r="I207" s="28">
        <f t="shared" ref="I207:I212" si="69">$B$7*H207</f>
        <v>57</v>
      </c>
      <c r="J207" s="6" t="s">
        <v>165</v>
      </c>
      <c r="K207" s="7">
        <v>0.6</v>
      </c>
      <c r="L207" s="50">
        <f>$B$8*K207</f>
        <v>69</v>
      </c>
    </row>
    <row r="208" spans="1:12" outlineLevel="1" x14ac:dyDescent="0.15">
      <c r="A208" s="6" t="s">
        <v>115</v>
      </c>
      <c r="B208" s="7">
        <v>0.7</v>
      </c>
      <c r="C208" s="50">
        <f t="shared" si="68"/>
        <v>80.5</v>
      </c>
      <c r="D208" s="29" t="s">
        <v>30</v>
      </c>
      <c r="E208" s="8"/>
      <c r="F208" s="43"/>
      <c r="G208" s="6" t="s">
        <v>95</v>
      </c>
      <c r="H208" s="7">
        <v>0.7</v>
      </c>
      <c r="I208" s="28">
        <f t="shared" si="69"/>
        <v>66.5</v>
      </c>
      <c r="J208" s="6" t="s">
        <v>172</v>
      </c>
      <c r="K208" s="7">
        <v>0.7</v>
      </c>
      <c r="L208" s="50">
        <f>$B$8*K208</f>
        <v>80.5</v>
      </c>
    </row>
    <row r="209" spans="1:12" outlineLevel="1" x14ac:dyDescent="0.15">
      <c r="A209" s="6" t="s">
        <v>129</v>
      </c>
      <c r="B209" s="7">
        <v>0.8</v>
      </c>
      <c r="C209" s="50">
        <f t="shared" si="68"/>
        <v>92</v>
      </c>
      <c r="D209" s="6" t="s">
        <v>139</v>
      </c>
      <c r="E209" s="7">
        <v>0.6</v>
      </c>
      <c r="F209" s="50">
        <f t="shared" ref="F209:F211" si="70">$B$8*E209</f>
        <v>69</v>
      </c>
      <c r="G209" s="6" t="s">
        <v>95</v>
      </c>
      <c r="H209" s="7">
        <v>0.8</v>
      </c>
      <c r="I209" s="28">
        <f t="shared" si="69"/>
        <v>76</v>
      </c>
      <c r="J209" s="6"/>
      <c r="K209" s="8"/>
      <c r="L209" s="43"/>
    </row>
    <row r="210" spans="1:12" outlineLevel="1" x14ac:dyDescent="0.15">
      <c r="A210" s="6"/>
      <c r="B210" s="8"/>
      <c r="C210" s="43"/>
      <c r="D210" s="6" t="s">
        <v>139</v>
      </c>
      <c r="E210" s="7">
        <v>0.65</v>
      </c>
      <c r="F210" s="50">
        <f t="shared" si="70"/>
        <v>74.75</v>
      </c>
      <c r="G210" s="6" t="s">
        <v>95</v>
      </c>
      <c r="H210" s="7">
        <v>0.85</v>
      </c>
      <c r="I210" s="28">
        <f t="shared" si="69"/>
        <v>80.75</v>
      </c>
      <c r="J210" s="6"/>
      <c r="K210" s="8"/>
      <c r="L210" s="43"/>
    </row>
    <row r="211" spans="1:12" outlineLevel="1" x14ac:dyDescent="0.15">
      <c r="A211" s="29" t="s">
        <v>90</v>
      </c>
      <c r="B211" s="8"/>
      <c r="C211" s="43"/>
      <c r="D211" s="6" t="s">
        <v>148</v>
      </c>
      <c r="E211" s="7">
        <v>0.7</v>
      </c>
      <c r="F211" s="50">
        <f t="shared" si="70"/>
        <v>80.5</v>
      </c>
      <c r="G211" s="6" t="s">
        <v>113</v>
      </c>
      <c r="H211" s="7">
        <v>0.9</v>
      </c>
      <c r="I211" s="28">
        <f t="shared" si="69"/>
        <v>85.5</v>
      </c>
      <c r="J211" s="6"/>
      <c r="K211" s="8"/>
      <c r="L211" s="43"/>
    </row>
    <row r="212" spans="1:12" outlineLevel="1" x14ac:dyDescent="0.15">
      <c r="A212" s="6" t="s">
        <v>105</v>
      </c>
      <c r="B212" s="7">
        <v>0.85</v>
      </c>
      <c r="C212" s="28">
        <f t="shared" ref="C212:C213" si="71">$B$7*B212</f>
        <v>80.75</v>
      </c>
      <c r="D212" s="6"/>
      <c r="E212" s="8"/>
      <c r="F212" s="43"/>
      <c r="G212" s="6" t="s">
        <v>96</v>
      </c>
      <c r="H212" s="7">
        <v>0.8</v>
      </c>
      <c r="I212" s="28">
        <f t="shared" si="69"/>
        <v>76</v>
      </c>
      <c r="J212" s="6"/>
      <c r="K212" s="8"/>
      <c r="L212" s="43"/>
    </row>
    <row r="213" spans="1:12" outlineLevel="1" x14ac:dyDescent="0.15">
      <c r="A213" s="6" t="s">
        <v>110</v>
      </c>
      <c r="B213" s="7">
        <v>0.95</v>
      </c>
      <c r="C213" s="28">
        <f t="shared" si="71"/>
        <v>90.25</v>
      </c>
      <c r="D213" s="29" t="s">
        <v>89</v>
      </c>
      <c r="E213" s="8"/>
      <c r="F213" s="43"/>
      <c r="G213" s="6"/>
      <c r="H213" s="8"/>
      <c r="I213" s="43"/>
      <c r="J213" s="6"/>
      <c r="K213" s="8"/>
      <c r="L213" s="43"/>
    </row>
    <row r="214" spans="1:12" outlineLevel="1" x14ac:dyDescent="0.15">
      <c r="A214" s="6"/>
      <c r="B214" s="8"/>
      <c r="C214" s="43"/>
      <c r="D214" s="6" t="s">
        <v>105</v>
      </c>
      <c r="E214" s="7">
        <v>0.8</v>
      </c>
      <c r="F214" s="46">
        <f t="shared" ref="F214:F218" si="72">$B$6*E214</f>
        <v>88</v>
      </c>
      <c r="G214" s="29" t="s">
        <v>43</v>
      </c>
      <c r="H214" s="8"/>
      <c r="I214" s="43"/>
      <c r="J214" s="6"/>
      <c r="K214" s="8"/>
      <c r="L214" s="43"/>
    </row>
    <row r="215" spans="1:12" outlineLevel="1" x14ac:dyDescent="0.15">
      <c r="A215" s="29" t="s">
        <v>23</v>
      </c>
      <c r="B215" s="8"/>
      <c r="C215" s="43"/>
      <c r="D215" s="6" t="s">
        <v>105</v>
      </c>
      <c r="E215" s="7">
        <v>0.9</v>
      </c>
      <c r="F215" s="46">
        <f t="shared" si="72"/>
        <v>99</v>
      </c>
      <c r="G215" s="6" t="s">
        <v>161</v>
      </c>
      <c r="H215" s="7">
        <v>0.6</v>
      </c>
      <c r="I215" s="50">
        <f t="shared" ref="I215:I220" si="73">$B$8*H215</f>
        <v>69</v>
      </c>
      <c r="J215" s="6"/>
      <c r="K215" s="8"/>
      <c r="L215" s="43"/>
    </row>
    <row r="216" spans="1:12" outlineLevel="1" x14ac:dyDescent="0.15">
      <c r="A216" s="6" t="s">
        <v>105</v>
      </c>
      <c r="B216" s="7">
        <v>0.6</v>
      </c>
      <c r="C216" s="47">
        <f t="shared" ref="C216:C218" si="74">$B$10*B216</f>
        <v>48</v>
      </c>
      <c r="D216" s="6" t="s">
        <v>95</v>
      </c>
      <c r="E216" s="7">
        <v>1</v>
      </c>
      <c r="F216" s="46">
        <f t="shared" si="72"/>
        <v>110</v>
      </c>
      <c r="G216" s="6" t="s">
        <v>161</v>
      </c>
      <c r="H216" s="7">
        <v>0.7</v>
      </c>
      <c r="I216" s="50">
        <f t="shared" si="73"/>
        <v>80.5</v>
      </c>
      <c r="J216" s="6"/>
      <c r="K216" s="8"/>
      <c r="L216" s="43"/>
    </row>
    <row r="217" spans="1:12" outlineLevel="1" x14ac:dyDescent="0.15">
      <c r="A217" s="6" t="s">
        <v>105</v>
      </c>
      <c r="B217" s="7">
        <v>0.65</v>
      </c>
      <c r="C217" s="47">
        <f t="shared" si="74"/>
        <v>52</v>
      </c>
      <c r="D217" s="6" t="s">
        <v>95</v>
      </c>
      <c r="E217" s="7">
        <v>0.85</v>
      </c>
      <c r="F217" s="46">
        <f t="shared" si="72"/>
        <v>93.5</v>
      </c>
      <c r="G217" s="6" t="s">
        <v>161</v>
      </c>
      <c r="H217" s="7">
        <v>0.8</v>
      </c>
      <c r="I217" s="50">
        <f t="shared" si="73"/>
        <v>92</v>
      </c>
      <c r="J217" s="6"/>
      <c r="K217" s="8"/>
      <c r="L217" s="43"/>
    </row>
    <row r="218" spans="1:12" outlineLevel="1" x14ac:dyDescent="0.15">
      <c r="A218" s="6" t="s">
        <v>130</v>
      </c>
      <c r="B218" s="7">
        <v>0.7</v>
      </c>
      <c r="C218" s="47">
        <f t="shared" si="74"/>
        <v>56</v>
      </c>
      <c r="D218" s="6" t="s">
        <v>95</v>
      </c>
      <c r="E218" s="7">
        <v>0.9</v>
      </c>
      <c r="F218" s="46">
        <f t="shared" si="72"/>
        <v>99</v>
      </c>
      <c r="G218" s="6" t="s">
        <v>161</v>
      </c>
      <c r="H218" s="7">
        <v>0.85</v>
      </c>
      <c r="I218" s="50">
        <f t="shared" si="73"/>
        <v>97.75</v>
      </c>
      <c r="J218" s="6"/>
      <c r="K218" s="8"/>
      <c r="L218" s="43"/>
    </row>
    <row r="219" spans="1:12" outlineLevel="1" x14ac:dyDescent="0.15">
      <c r="A219" s="6"/>
      <c r="B219" s="8"/>
      <c r="C219" s="43"/>
      <c r="D219" s="6"/>
      <c r="E219" s="8"/>
      <c r="F219" s="43"/>
      <c r="G219" s="6" t="s">
        <v>144</v>
      </c>
      <c r="H219" s="7">
        <v>0.9</v>
      </c>
      <c r="I219" s="50">
        <f t="shared" si="73"/>
        <v>103.5</v>
      </c>
      <c r="J219" s="6"/>
      <c r="K219" s="8"/>
      <c r="L219" s="43"/>
    </row>
    <row r="220" spans="1:12" outlineLevel="1" x14ac:dyDescent="0.15">
      <c r="A220" s="29" t="s">
        <v>65</v>
      </c>
      <c r="B220" s="8"/>
      <c r="C220" s="43"/>
      <c r="D220" s="29" t="s">
        <v>81</v>
      </c>
      <c r="E220" s="8"/>
      <c r="F220" s="43"/>
      <c r="G220" s="6" t="s">
        <v>145</v>
      </c>
      <c r="H220" s="7">
        <v>0.8</v>
      </c>
      <c r="I220" s="50">
        <f t="shared" si="73"/>
        <v>92</v>
      </c>
      <c r="J220" s="6"/>
      <c r="K220" s="8"/>
      <c r="L220" s="43"/>
    </row>
    <row r="221" spans="1:12" outlineLevel="1" x14ac:dyDescent="0.15">
      <c r="A221" s="6" t="s">
        <v>59</v>
      </c>
      <c r="B221" s="8"/>
      <c r="C221" s="43"/>
      <c r="D221" s="6" t="s">
        <v>63</v>
      </c>
      <c r="E221" s="8"/>
      <c r="F221" s="43"/>
      <c r="G221" s="6"/>
      <c r="H221" s="8"/>
      <c r="I221" s="43"/>
      <c r="J221" s="6"/>
      <c r="K221" s="8"/>
      <c r="L221" s="43"/>
    </row>
    <row r="222" spans="1:12" outlineLevel="1" x14ac:dyDescent="0.15">
      <c r="A222" s="6" t="s">
        <v>37</v>
      </c>
      <c r="B222" s="8"/>
      <c r="C222" s="43"/>
      <c r="D222" s="6" t="s">
        <v>37</v>
      </c>
      <c r="E222" s="8"/>
      <c r="F222" s="43"/>
      <c r="G222" s="29" t="s">
        <v>91</v>
      </c>
      <c r="H222" s="8"/>
      <c r="I222" s="43"/>
      <c r="J222" s="6"/>
      <c r="K222" s="8"/>
      <c r="L222" s="43"/>
    </row>
    <row r="223" spans="1:12" outlineLevel="1" x14ac:dyDescent="0.15">
      <c r="A223" s="6"/>
      <c r="B223" s="8"/>
      <c r="C223" s="43"/>
      <c r="D223" s="6"/>
      <c r="E223" s="8"/>
      <c r="F223" s="43"/>
      <c r="G223" s="6" t="s">
        <v>105</v>
      </c>
      <c r="H223" s="7">
        <v>1</v>
      </c>
      <c r="I223" s="28">
        <f t="shared" ref="I223:I228" si="75">$B$7*H223</f>
        <v>95</v>
      </c>
      <c r="J223" s="6"/>
      <c r="K223" s="8"/>
      <c r="L223" s="43"/>
    </row>
    <row r="224" spans="1:12" outlineLevel="1" x14ac:dyDescent="0.15">
      <c r="A224" s="6"/>
      <c r="B224" s="8"/>
      <c r="C224" s="43"/>
      <c r="D224" s="6"/>
      <c r="E224" s="8"/>
      <c r="F224" s="43"/>
      <c r="G224" s="6" t="s">
        <v>105</v>
      </c>
      <c r="H224" s="7">
        <v>1.1000000000000001</v>
      </c>
      <c r="I224" s="28">
        <f t="shared" si="75"/>
        <v>104.50000000000001</v>
      </c>
      <c r="J224" s="6"/>
      <c r="K224" s="8"/>
      <c r="L224" s="43"/>
    </row>
    <row r="225" spans="1:12" outlineLevel="1" x14ac:dyDescent="0.15">
      <c r="A225" s="6"/>
      <c r="B225" s="8"/>
      <c r="C225" s="43"/>
      <c r="D225" s="6"/>
      <c r="E225" s="8"/>
      <c r="F225" s="43"/>
      <c r="G225" s="6" t="s">
        <v>105</v>
      </c>
      <c r="H225" s="7">
        <v>1</v>
      </c>
      <c r="I225" s="28">
        <f t="shared" si="75"/>
        <v>95</v>
      </c>
      <c r="J225" s="6"/>
      <c r="K225" s="8"/>
      <c r="L225" s="43"/>
    </row>
    <row r="226" spans="1:12" outlineLevel="1" x14ac:dyDescent="0.15">
      <c r="A226" s="6"/>
      <c r="B226" s="8"/>
      <c r="C226" s="43"/>
      <c r="D226" s="6"/>
      <c r="E226" s="8"/>
      <c r="F226" s="43"/>
      <c r="G226" s="6" t="s">
        <v>105</v>
      </c>
      <c r="H226" s="7">
        <v>1.1000000000000001</v>
      </c>
      <c r="I226" s="28">
        <f t="shared" si="75"/>
        <v>104.50000000000001</v>
      </c>
      <c r="J226" s="6"/>
      <c r="K226" s="8"/>
      <c r="L226" s="43"/>
    </row>
    <row r="227" spans="1:12" outlineLevel="1" x14ac:dyDescent="0.15">
      <c r="A227" s="6"/>
      <c r="B227" s="8"/>
      <c r="C227" s="43"/>
      <c r="D227" s="6"/>
      <c r="E227" s="8"/>
      <c r="F227" s="43"/>
      <c r="G227" s="6" t="s">
        <v>105</v>
      </c>
      <c r="H227" s="7">
        <v>1</v>
      </c>
      <c r="I227" s="28">
        <f t="shared" si="75"/>
        <v>95</v>
      </c>
      <c r="J227" s="6"/>
      <c r="K227" s="8"/>
      <c r="L227" s="43"/>
    </row>
    <row r="228" spans="1:12" outlineLevel="1" x14ac:dyDescent="0.15">
      <c r="A228" s="6"/>
      <c r="B228" s="8"/>
      <c r="C228" s="43"/>
      <c r="D228" s="6"/>
      <c r="E228" s="8"/>
      <c r="F228" s="43"/>
      <c r="G228" s="6" t="s">
        <v>105</v>
      </c>
      <c r="H228" s="7">
        <v>1.1000000000000001</v>
      </c>
      <c r="I228" s="28">
        <f t="shared" si="75"/>
        <v>104.50000000000001</v>
      </c>
      <c r="J228" s="6"/>
      <c r="K228" s="8"/>
      <c r="L228" s="43"/>
    </row>
    <row r="229" spans="1:12" outlineLevel="1" x14ac:dyDescent="0.15">
      <c r="A229" s="6"/>
      <c r="B229" s="8"/>
      <c r="C229" s="43"/>
      <c r="D229" s="6"/>
      <c r="E229" s="8"/>
      <c r="F229" s="43"/>
      <c r="G229" s="6"/>
      <c r="H229" s="8"/>
      <c r="I229" s="43"/>
      <c r="J229" s="6"/>
      <c r="K229" s="8"/>
      <c r="L229" s="43"/>
    </row>
    <row r="230" spans="1:12" outlineLevel="1" x14ac:dyDescent="0.15">
      <c r="A230" s="6"/>
      <c r="B230" s="8"/>
      <c r="C230" s="43"/>
      <c r="D230" s="6"/>
      <c r="E230" s="8"/>
      <c r="F230" s="43"/>
      <c r="G230" s="29" t="s">
        <v>47</v>
      </c>
      <c r="H230" s="8"/>
      <c r="I230" s="43"/>
      <c r="J230" s="6"/>
      <c r="K230" s="8"/>
      <c r="L230" s="43"/>
    </row>
    <row r="231" spans="1:12" outlineLevel="1" x14ac:dyDescent="0.15">
      <c r="A231" s="6"/>
      <c r="B231" s="8"/>
      <c r="C231" s="43"/>
      <c r="D231" s="6"/>
      <c r="E231" s="8"/>
      <c r="F231" s="43"/>
      <c r="G231" s="6" t="s">
        <v>63</v>
      </c>
      <c r="H231" s="8"/>
      <c r="I231" s="43"/>
      <c r="J231" s="6"/>
      <c r="K231" s="8"/>
      <c r="L231" s="43"/>
    </row>
    <row r="232" spans="1:12" ht="12" outlineLevel="1" thickBot="1" x14ac:dyDescent="0.2">
      <c r="A232" s="9"/>
      <c r="B232" s="10"/>
      <c r="C232" s="48"/>
      <c r="D232" s="9"/>
      <c r="E232" s="10"/>
      <c r="F232" s="48"/>
      <c r="G232" s="9" t="s">
        <v>37</v>
      </c>
      <c r="H232" s="10"/>
      <c r="I232" s="48"/>
      <c r="J232" s="9"/>
      <c r="K232" s="10"/>
      <c r="L232" s="48"/>
    </row>
  </sheetData>
  <mergeCells count="1">
    <mergeCell ref="A1:G1"/>
  </mergeCells>
  <hyperlinks>
    <hyperlink ref="A1" r:id="rId1" xr:uid="{002757DE-C567-4282-9C0F-C3FDC33979DA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D3EE5-23A5-409C-A53D-9D978ECB499A}">
  <sheetPr codeName="Sheet9"/>
  <dimension ref="A1:O640"/>
  <sheetViews>
    <sheetView tabSelected="1" zoomScaleNormal="100" workbookViewId="0"/>
  </sheetViews>
  <sheetFormatPr defaultRowHeight="15" customHeight="1" x14ac:dyDescent="0.25"/>
  <cols>
    <col min="1" max="3" width="7.7109375" style="2" customWidth="1"/>
    <col min="4" max="4" width="48.42578125" style="62" customWidth="1"/>
    <col min="5" max="8" width="8.42578125" style="2" customWidth="1"/>
    <col min="9" max="9" width="161.5703125" style="2" bestFit="1" customWidth="1"/>
    <col min="10" max="10" width="88.28515625" style="62" bestFit="1" customWidth="1"/>
    <col min="11" max="12" width="8.85546875" style="2" customWidth="1"/>
    <col min="13" max="13" width="48.42578125" style="62" customWidth="1"/>
    <col min="14" max="15" width="8.85546875" style="2" customWidth="1"/>
    <col min="16" max="16384" width="9.140625" style="62"/>
  </cols>
  <sheetData>
    <row r="1" spans="1:15" ht="15" customHeight="1" x14ac:dyDescent="0.25">
      <c r="D1" s="89" t="s">
        <v>92</v>
      </c>
      <c r="E1" s="89"/>
      <c r="F1" s="89"/>
      <c r="G1" s="89"/>
      <c r="H1" s="89"/>
      <c r="J1" s="89"/>
    </row>
    <row r="2" spans="1:15" ht="15" customHeight="1" thickBot="1" x14ac:dyDescent="0.3">
      <c r="D2" s="61"/>
      <c r="E2" s="4"/>
      <c r="F2" s="61"/>
      <c r="G2" s="4"/>
      <c r="H2" s="4"/>
      <c r="I2" s="97" t="s">
        <v>288</v>
      </c>
      <c r="J2" s="2"/>
      <c r="K2" s="62"/>
      <c r="M2" s="2"/>
      <c r="N2" s="62"/>
      <c r="O2" s="62"/>
    </row>
    <row r="3" spans="1:15" ht="15" customHeight="1" x14ac:dyDescent="0.25">
      <c r="D3" s="63" t="s">
        <v>0</v>
      </c>
      <c r="E3" s="86">
        <v>200</v>
      </c>
      <c r="F3" s="53" t="s">
        <v>181</v>
      </c>
      <c r="G3" s="4"/>
      <c r="H3" s="4"/>
      <c r="I3" s="98" t="s">
        <v>283</v>
      </c>
      <c r="J3" s="2"/>
      <c r="K3" s="62"/>
      <c r="M3" s="2"/>
      <c r="N3" s="62"/>
      <c r="O3" s="62"/>
    </row>
    <row r="4" spans="1:15" ht="15" customHeight="1" x14ac:dyDescent="0.25">
      <c r="D4" s="64" t="s">
        <v>34</v>
      </c>
      <c r="E4" s="80">
        <v>140</v>
      </c>
      <c r="F4" s="54" t="s">
        <v>182</v>
      </c>
      <c r="G4" s="4"/>
      <c r="H4" s="4"/>
      <c r="I4" s="99" t="str">
        <f>"&lt;tr&gt;&lt;th colspan=""3""&gt;&lt;label&gt;"&amp;D3&amp;"&lt;input type=""checkbox"" class=""section-toggle"" data-section="""&amp;A3&amp;B3&amp;C3&amp;"""/&gt;&lt;/label&gt;&lt;/th&gt;&lt;/tr&gt;"</f>
        <v>&lt;tr&gt;&lt;th colspan="3"&gt;&lt;label&gt;Back Squat&lt;input type="checkbox" class="section-toggle" data-section=""/&gt;&lt;/label&gt;&lt;/th&gt;&lt;/tr&gt;</v>
      </c>
      <c r="J4" s="2"/>
      <c r="K4" s="62"/>
      <c r="M4" s="2"/>
      <c r="N4" s="62"/>
      <c r="O4" s="62"/>
    </row>
    <row r="5" spans="1:15" ht="15" customHeight="1" x14ac:dyDescent="0.25">
      <c r="D5" s="65" t="s">
        <v>173</v>
      </c>
      <c r="E5" s="81">
        <v>90</v>
      </c>
      <c r="F5" s="55" t="s">
        <v>183</v>
      </c>
      <c r="G5" s="4"/>
      <c r="H5" s="4"/>
      <c r="I5" s="100" t="s">
        <v>284</v>
      </c>
      <c r="J5" s="2"/>
      <c r="K5" s="62"/>
      <c r="M5" s="2"/>
      <c r="N5" s="62"/>
      <c r="O5" s="62"/>
    </row>
    <row r="6" spans="1:15" ht="15" customHeight="1" x14ac:dyDescent="0.25">
      <c r="D6" s="66" t="s">
        <v>175</v>
      </c>
      <c r="E6" s="82">
        <v>110</v>
      </c>
      <c r="F6" s="56" t="s">
        <v>184</v>
      </c>
      <c r="G6" s="4"/>
      <c r="H6" s="4"/>
      <c r="I6" s="101" t="str">
        <f>"&lt;tr data-section="""&amp;A5&amp;B5&amp;C5&amp;"""&gt;&lt;td&gt;"&amp;D5&amp;"&lt;/td&gt;&lt;td&gt;"&amp;G5&amp;"%&lt;/td&gt;&lt;td&gt;${percent("&amp;H5&amp;", "&amp;G5&amp;")}kg&lt;/td&gt;&lt;/tr&gt;"</f>
        <v>&lt;tr data-section=""&gt;&lt;td&gt;Overhead Squat&lt;/td&gt;&lt;td&gt;%&lt;/td&gt;&lt;td&gt;${percent(, )}kg&lt;/td&gt;&lt;/tr&gt;</v>
      </c>
      <c r="J6" s="2"/>
      <c r="K6" s="62"/>
      <c r="M6" s="2"/>
      <c r="N6" s="62"/>
      <c r="O6" s="62"/>
    </row>
    <row r="7" spans="1:15" ht="15" customHeight="1" x14ac:dyDescent="0.25">
      <c r="D7" s="67" t="s">
        <v>42</v>
      </c>
      <c r="E7" s="83">
        <v>95</v>
      </c>
      <c r="F7" s="57" t="s">
        <v>185</v>
      </c>
      <c r="G7" s="4"/>
      <c r="H7" s="4"/>
      <c r="I7" s="102" t="s">
        <v>285</v>
      </c>
      <c r="J7" s="61"/>
    </row>
    <row r="8" spans="1:15" ht="15" customHeight="1" x14ac:dyDescent="0.25">
      <c r="D8" s="68" t="s">
        <v>49</v>
      </c>
      <c r="E8" s="84">
        <v>115</v>
      </c>
      <c r="F8" s="58" t="s">
        <v>186</v>
      </c>
      <c r="G8" s="4"/>
      <c r="H8" s="4"/>
      <c r="I8" s="96" t="s">
        <v>287</v>
      </c>
      <c r="J8" s="61"/>
    </row>
    <row r="9" spans="1:15" ht="15" customHeight="1" x14ac:dyDescent="0.25">
      <c r="D9" s="69" t="s">
        <v>176</v>
      </c>
      <c r="E9" s="85">
        <v>200</v>
      </c>
      <c r="F9" s="59" t="s">
        <v>187</v>
      </c>
      <c r="G9" s="4"/>
      <c r="H9" s="4"/>
      <c r="I9" s="103" t="s">
        <v>286</v>
      </c>
      <c r="J9" s="61"/>
    </row>
    <row r="10" spans="1:15" ht="15" customHeight="1" thickBot="1" x14ac:dyDescent="0.3">
      <c r="D10" s="70" t="s">
        <v>23</v>
      </c>
      <c r="E10" s="87">
        <v>80</v>
      </c>
      <c r="F10" s="60" t="s">
        <v>188</v>
      </c>
      <c r="G10" s="4"/>
      <c r="H10" s="4"/>
      <c r="I10" s="104" t="str">
        <f>"&lt;tr data-section="""&amp;A9&amp;B9&amp;C9&amp;"""&gt;&lt;td colspan=""3""&gt;"&amp;D9&amp;" "&amp;E9&amp;"&lt;/td&gt;&lt;/tr&gt;"</f>
        <v>&lt;tr data-section=""&gt;&lt;td colspan="3"&gt;Deadlift 200&lt;/td&gt;&lt;/tr&gt;</v>
      </c>
      <c r="J10" s="61"/>
    </row>
    <row r="11" spans="1:15" ht="15" customHeight="1" x14ac:dyDescent="0.25">
      <c r="D11" s="61"/>
      <c r="E11" s="4"/>
      <c r="F11" s="61"/>
      <c r="G11" s="4"/>
      <c r="H11" s="4"/>
      <c r="I11" s="61"/>
      <c r="J11" s="61"/>
    </row>
    <row r="12" spans="1:15" s="13" customFormat="1" ht="15" customHeight="1" x14ac:dyDescent="0.25">
      <c r="A12" s="91" t="s">
        <v>208</v>
      </c>
      <c r="B12" s="91" t="s">
        <v>209</v>
      </c>
      <c r="C12" s="91" t="s">
        <v>210</v>
      </c>
      <c r="D12" s="91" t="s">
        <v>211</v>
      </c>
      <c r="E12" s="91" t="s">
        <v>93</v>
      </c>
      <c r="F12" s="92" t="s">
        <v>94</v>
      </c>
      <c r="G12" s="91" t="s">
        <v>192</v>
      </c>
      <c r="H12" s="92" t="s">
        <v>190</v>
      </c>
      <c r="I12" s="91" t="s">
        <v>191</v>
      </c>
    </row>
    <row r="13" spans="1:15" ht="15" customHeight="1" x14ac:dyDescent="0.25">
      <c r="A13" s="8">
        <v>1</v>
      </c>
      <c r="B13" s="8">
        <v>1</v>
      </c>
      <c r="C13" s="8">
        <v>1</v>
      </c>
      <c r="D13" s="93" t="s">
        <v>0</v>
      </c>
      <c r="E13" s="8"/>
      <c r="F13" s="71"/>
      <c r="G13" s="8" t="str">
        <f>IF(ISNUMBER(E13), E13 * 100, "")</f>
        <v/>
      </c>
      <c r="H13" s="8" t="str" cm="1">
        <f t="array" ref="H13">GetColorMatchValue(F13, $F$3:$F$10)</f>
        <v/>
      </c>
      <c r="I13" s="99" t="str">
        <f>"&lt;tr&gt;&lt;th colspan=""3""&gt;&lt;label&gt;"&amp;D12&amp;"&lt;input type=""checkbox"" class=""section-toggle"" data-section="""&amp;A12&amp;B12&amp;C12&amp;"""/&gt;&lt;/label&gt;&lt;/th&gt;&lt;/tr&gt;"</f>
        <v>&lt;tr&gt;&lt;th colspan="3"&gt;&lt;label&gt;Programming&lt;input type="checkbox" class="section-toggle" data-section="WeekDaySection"/&gt;&lt;/label&gt;&lt;/th&gt;&lt;/tr&gt;</v>
      </c>
      <c r="J13" s="88"/>
    </row>
    <row r="14" spans="1:15" ht="15" customHeight="1" x14ac:dyDescent="0.25">
      <c r="A14" s="8">
        <v>1</v>
      </c>
      <c r="B14" s="8">
        <v>1</v>
      </c>
      <c r="C14" s="8">
        <v>1</v>
      </c>
      <c r="D14" s="94" t="s">
        <v>213</v>
      </c>
      <c r="E14" s="7">
        <v>0.6</v>
      </c>
      <c r="F14" s="72">
        <f>$E$3*E14</f>
        <v>120</v>
      </c>
      <c r="G14" s="8">
        <f t="shared" ref="G14:G74" si="0">IF(ISNUMBER(E14), E14 * 100, "")</f>
        <v>60</v>
      </c>
      <c r="H14" s="8" t="str" cm="1">
        <f t="array" ref="H14">GetColorMatchValue(F14, $F$3:$F$10)</f>
        <v>bs</v>
      </c>
      <c r="I14" s="101" t="str">
        <f t="shared" ref="I14:I16" si="1">"&lt;tr data-section="""&amp;A13&amp;B13&amp;C13&amp;"""&gt;&lt;td&gt;"&amp;D13&amp;"&lt;/td&gt;&lt;td&gt;"&amp;G13&amp;"%&lt;/td&gt;&lt;td&gt;${percent("&amp;H13&amp;", "&amp;G13&amp;")}kg&lt;/td&gt;&lt;/tr&gt;"</f>
        <v>&lt;tr data-section="111"&gt;&lt;td&gt;Back Squat&lt;/td&gt;&lt;td&gt;%&lt;/td&gt;&lt;td&gt;${percent(, )}kg&lt;/td&gt;&lt;/tr&gt;</v>
      </c>
    </row>
    <row r="15" spans="1:15" ht="15" customHeight="1" x14ac:dyDescent="0.25">
      <c r="A15" s="8">
        <v>1</v>
      </c>
      <c r="B15" s="8">
        <v>1</v>
      </c>
      <c r="C15" s="8">
        <v>1</v>
      </c>
      <c r="D15" s="94" t="s">
        <v>213</v>
      </c>
      <c r="E15" s="7">
        <v>0.7</v>
      </c>
      <c r="F15" s="72">
        <f>$E$3*E15</f>
        <v>140</v>
      </c>
      <c r="G15" s="8">
        <f t="shared" si="0"/>
        <v>70</v>
      </c>
      <c r="H15" s="8" t="str" cm="1">
        <f t="array" ref="H15">GetColorMatchValue(F15, $F$3:$F$10)</f>
        <v>bs</v>
      </c>
      <c r="I15" s="101" t="str">
        <f t="shared" si="1"/>
        <v>&lt;tr data-section="111"&gt;&lt;td&gt;1 Set of 3 Reps&lt;/td&gt;&lt;td&gt;60%&lt;/td&gt;&lt;td&gt;${percent(bs, 60)}kg&lt;/td&gt;&lt;/tr&gt;</v>
      </c>
    </row>
    <row r="16" spans="1:15" ht="15" customHeight="1" x14ac:dyDescent="0.25">
      <c r="A16" s="8">
        <v>1</v>
      </c>
      <c r="B16" s="8">
        <v>1</v>
      </c>
      <c r="C16" s="8">
        <v>1</v>
      </c>
      <c r="D16" s="94" t="s">
        <v>205</v>
      </c>
      <c r="E16" s="7">
        <v>0.8</v>
      </c>
      <c r="F16" s="72">
        <f>$E$3*E16</f>
        <v>160</v>
      </c>
      <c r="G16" s="8">
        <f t="shared" si="0"/>
        <v>80</v>
      </c>
      <c r="H16" s="8" t="str" cm="1">
        <f t="array" ref="H16">GetColorMatchValue(F16, $F$3:$F$10)</f>
        <v>bs</v>
      </c>
      <c r="I16" s="101" t="str">
        <f t="shared" si="1"/>
        <v>&lt;tr data-section="111"&gt;&lt;td&gt;1 Set of 3 Reps&lt;/td&gt;&lt;td&gt;70%&lt;/td&gt;&lt;td&gt;${percent(bs, 70)}kg&lt;/td&gt;&lt;/tr&gt;</v>
      </c>
    </row>
    <row r="17" spans="1:9" ht="15" customHeight="1" x14ac:dyDescent="0.25">
      <c r="A17" s="8">
        <v>1</v>
      </c>
      <c r="B17" s="8">
        <v>1</v>
      </c>
      <c r="C17" s="8">
        <v>1</v>
      </c>
      <c r="D17" s="94"/>
      <c r="E17" s="8"/>
      <c r="F17" s="71"/>
      <c r="G17" s="8" t="str">
        <f t="shared" si="0"/>
        <v/>
      </c>
      <c r="H17" s="8" t="str" cm="1">
        <f t="array" ref="H17">GetColorMatchValue(F17, $F$3:$F$10)</f>
        <v/>
      </c>
      <c r="I17" s="96" t="s">
        <v>287</v>
      </c>
    </row>
    <row r="18" spans="1:9" ht="15" customHeight="1" x14ac:dyDescent="0.25">
      <c r="A18" s="8">
        <v>1</v>
      </c>
      <c r="B18" s="8">
        <v>1</v>
      </c>
      <c r="C18" s="8">
        <v>2</v>
      </c>
      <c r="D18" s="93" t="s">
        <v>214</v>
      </c>
      <c r="E18" s="8"/>
      <c r="F18" s="71"/>
      <c r="G18" s="8" t="str">
        <f t="shared" si="0"/>
        <v/>
      </c>
      <c r="H18" s="8" t="str" cm="1">
        <f t="array" ref="H18">GetColorMatchValue(F18, $F$3:$F$10)</f>
        <v/>
      </c>
      <c r="I18" s="99" t="str">
        <f>"&lt;tr&gt;&lt;th colspan=""3""&gt;&lt;label&gt;"&amp;D17&amp;"&lt;input type=""checkbox"" class=""section-toggle"" data-section="""&amp;A17&amp;B17&amp;C17&amp;"""/&gt;&lt;/label&gt;&lt;/th&gt;&lt;/tr&gt;"</f>
        <v>&lt;tr&gt;&lt;th colspan="3"&gt;&lt;label&gt;&lt;input type="checkbox" class="section-toggle" data-section="111"/&gt;&lt;/label&gt;&lt;/th&gt;&lt;/tr&gt;</v>
      </c>
    </row>
    <row r="19" spans="1:9" ht="15" customHeight="1" x14ac:dyDescent="0.25">
      <c r="A19" s="8">
        <v>1</v>
      </c>
      <c r="B19" s="8">
        <v>1</v>
      </c>
      <c r="C19" s="8">
        <v>2</v>
      </c>
      <c r="D19" s="94" t="s">
        <v>215</v>
      </c>
      <c r="E19" s="7">
        <v>0.9</v>
      </c>
      <c r="F19" s="73">
        <f>$E$7*E19</f>
        <v>85.5</v>
      </c>
      <c r="G19" s="8">
        <f t="shared" si="0"/>
        <v>90</v>
      </c>
      <c r="H19" s="8" t="str" cm="1">
        <f t="array" ref="H19">GetColorMatchValue(F19, $F$3:$F$10)</f>
        <v>s</v>
      </c>
      <c r="I19" s="101" t="str">
        <f>"&lt;tr data-section="""&amp;A18&amp;B18&amp;C18&amp;"""&gt;&lt;td&gt;"&amp;D18&amp;"&lt;/td&gt;&lt;td&gt;"&amp;G18&amp;"%&lt;/td&gt;&lt;td&gt;${percent("&amp;H18&amp;", "&amp;G18&amp;")}kg&lt;/td&gt;&lt;/tr&gt;"</f>
        <v>&lt;tr data-section="112"&gt;&lt;td&gt;Snatch Pulls&lt;/td&gt;&lt;td&gt;%&lt;/td&gt;&lt;td&gt;${percent(, )}kg&lt;/td&gt;&lt;/tr&gt;</v>
      </c>
    </row>
    <row r="20" spans="1:9" ht="15" customHeight="1" x14ac:dyDescent="0.25">
      <c r="A20" s="8">
        <v>1</v>
      </c>
      <c r="B20" s="8">
        <v>1</v>
      </c>
      <c r="C20" s="8">
        <v>2</v>
      </c>
      <c r="D20" s="94"/>
      <c r="E20" s="8"/>
      <c r="F20" s="71"/>
      <c r="G20" s="8" t="str">
        <f t="shared" si="0"/>
        <v/>
      </c>
      <c r="H20" s="8" t="str" cm="1">
        <f t="array" ref="H20">GetColorMatchValue(F20, $F$3:$F$10)</f>
        <v/>
      </c>
      <c r="I20" s="96" t="s">
        <v>287</v>
      </c>
    </row>
    <row r="21" spans="1:9" ht="15" customHeight="1" x14ac:dyDescent="0.25">
      <c r="A21" s="8">
        <v>1</v>
      </c>
      <c r="B21" s="8">
        <v>1</v>
      </c>
      <c r="C21" s="8">
        <v>3</v>
      </c>
      <c r="D21" s="93" t="s">
        <v>1</v>
      </c>
      <c r="E21" s="8"/>
      <c r="F21" s="71"/>
      <c r="G21" s="8" t="str">
        <f t="shared" si="0"/>
        <v/>
      </c>
      <c r="H21" s="8" t="str" cm="1">
        <f t="array" ref="H21">GetColorMatchValue(F21, $F$3:$F$10)</f>
        <v/>
      </c>
      <c r="I21" s="99" t="str">
        <f>"&lt;tr&gt;&lt;th colspan=""3""&gt;&lt;label&gt;"&amp;D20&amp;"&lt;input type=""checkbox"" class=""section-toggle"" data-section="""&amp;A20&amp;B20&amp;C20&amp;"""/&gt;&lt;/label&gt;&lt;/th&gt;&lt;/tr&gt;"</f>
        <v>&lt;tr&gt;&lt;th colspan="3"&gt;&lt;label&gt;&lt;input type="checkbox" class="section-toggle" data-section="112"/&gt;&lt;/label&gt;&lt;/th&gt;&lt;/tr&gt;</v>
      </c>
    </row>
    <row r="22" spans="1:9" ht="15" customHeight="1" x14ac:dyDescent="0.25">
      <c r="A22" s="8">
        <v>1</v>
      </c>
      <c r="B22" s="8">
        <v>1</v>
      </c>
      <c r="C22" s="8">
        <v>3</v>
      </c>
      <c r="D22" s="94" t="s">
        <v>212</v>
      </c>
      <c r="E22" s="7">
        <v>0.6</v>
      </c>
      <c r="F22" s="73">
        <f t="shared" ref="F22:F25" si="2">$E$7*E22</f>
        <v>57</v>
      </c>
      <c r="G22" s="8">
        <f t="shared" si="0"/>
        <v>60</v>
      </c>
      <c r="H22" s="8" t="str" cm="1">
        <f t="array" ref="H22">GetColorMatchValue(F22, $F$3:$F$10)</f>
        <v>s</v>
      </c>
      <c r="I22" s="101" t="str">
        <f t="shared" ref="I22:I25" si="3">"&lt;tr data-section="""&amp;A21&amp;B21&amp;C21&amp;"""&gt;&lt;td&gt;"&amp;D21&amp;"&lt;/td&gt;&lt;td&gt;"&amp;G21&amp;"%&lt;/td&gt;&lt;td&gt;${percent("&amp;H21&amp;", "&amp;G21&amp;")}kg&lt;/td&gt;&lt;/tr&gt;"</f>
        <v>&lt;tr data-section="113"&gt;&lt;td&gt;Power Snatch&lt;/td&gt;&lt;td&gt;%&lt;/td&gt;&lt;td&gt;${percent(, )}kg&lt;/td&gt;&lt;/tr&gt;</v>
      </c>
    </row>
    <row r="23" spans="1:9" ht="15" customHeight="1" x14ac:dyDescent="0.25">
      <c r="A23" s="8">
        <v>1</v>
      </c>
      <c r="B23" s="8">
        <v>1</v>
      </c>
      <c r="C23" s="8">
        <v>3</v>
      </c>
      <c r="D23" s="94" t="s">
        <v>212</v>
      </c>
      <c r="E23" s="7">
        <v>0.7</v>
      </c>
      <c r="F23" s="73">
        <f t="shared" si="2"/>
        <v>66.5</v>
      </c>
      <c r="G23" s="8">
        <f t="shared" si="0"/>
        <v>70</v>
      </c>
      <c r="H23" s="8" t="str" cm="1">
        <f t="array" ref="H23">GetColorMatchValue(F23, $F$3:$F$10)</f>
        <v>s</v>
      </c>
      <c r="I23" s="101" t="str">
        <f t="shared" si="3"/>
        <v>&lt;tr data-section="113"&gt;&lt;td&gt;1 Set of 1 Rep&lt;/td&gt;&lt;td&gt;60%&lt;/td&gt;&lt;td&gt;${percent(s, 60)}kg&lt;/td&gt;&lt;/tr&gt;</v>
      </c>
    </row>
    <row r="24" spans="1:9" ht="15" customHeight="1" x14ac:dyDescent="0.25">
      <c r="A24" s="8">
        <v>1</v>
      </c>
      <c r="B24" s="8">
        <v>1</v>
      </c>
      <c r="C24" s="8">
        <v>3</v>
      </c>
      <c r="D24" s="94" t="s">
        <v>212</v>
      </c>
      <c r="E24" s="7">
        <v>0.75</v>
      </c>
      <c r="F24" s="73">
        <f t="shared" si="2"/>
        <v>71.25</v>
      </c>
      <c r="G24" s="8">
        <f t="shared" si="0"/>
        <v>75</v>
      </c>
      <c r="H24" s="8" t="str" cm="1">
        <f t="array" ref="H24">GetColorMatchValue(F24, $F$3:$F$10)</f>
        <v>s</v>
      </c>
      <c r="I24" s="101" t="str">
        <f t="shared" si="3"/>
        <v>&lt;tr data-section="113"&gt;&lt;td&gt;1 Set of 1 Rep&lt;/td&gt;&lt;td&gt;70%&lt;/td&gt;&lt;td&gt;${percent(s, 70)}kg&lt;/td&gt;&lt;/tr&gt;</v>
      </c>
    </row>
    <row r="25" spans="1:9" ht="15" customHeight="1" x14ac:dyDescent="0.25">
      <c r="A25" s="8">
        <v>1</v>
      </c>
      <c r="B25" s="8">
        <v>1</v>
      </c>
      <c r="C25" s="8">
        <v>3</v>
      </c>
      <c r="D25" s="94" t="s">
        <v>221</v>
      </c>
      <c r="E25" s="7">
        <v>0.8</v>
      </c>
      <c r="F25" s="73">
        <f t="shared" si="2"/>
        <v>76</v>
      </c>
      <c r="G25" s="8">
        <f t="shared" si="0"/>
        <v>80</v>
      </c>
      <c r="H25" s="8" t="str" cm="1">
        <f t="array" ref="H25">GetColorMatchValue(F25, $F$3:$F$10)</f>
        <v>s</v>
      </c>
      <c r="I25" s="101" t="str">
        <f t="shared" si="3"/>
        <v>&lt;tr data-section="113"&gt;&lt;td&gt;1 Set of 1 Rep&lt;/td&gt;&lt;td&gt;75%&lt;/td&gt;&lt;td&gt;${percent(s, 75)}kg&lt;/td&gt;&lt;/tr&gt;</v>
      </c>
    </row>
    <row r="26" spans="1:9" ht="15" customHeight="1" x14ac:dyDescent="0.25">
      <c r="A26" s="8">
        <v>1</v>
      </c>
      <c r="B26" s="8">
        <v>1</v>
      </c>
      <c r="C26" s="8">
        <v>3</v>
      </c>
      <c r="D26" s="94"/>
      <c r="E26" s="8"/>
      <c r="F26" s="71"/>
      <c r="G26" s="8" t="str">
        <f t="shared" si="0"/>
        <v/>
      </c>
      <c r="H26" s="8" t="str" cm="1">
        <f t="array" ref="H26">GetColorMatchValue(F26, $F$3:$F$10)</f>
        <v/>
      </c>
      <c r="I26" s="96" t="s">
        <v>287</v>
      </c>
    </row>
    <row r="27" spans="1:9" ht="15" customHeight="1" x14ac:dyDescent="0.25">
      <c r="A27" s="8">
        <v>1</v>
      </c>
      <c r="B27" s="8">
        <v>1</v>
      </c>
      <c r="C27" s="8">
        <v>4</v>
      </c>
      <c r="D27" s="93" t="s">
        <v>2</v>
      </c>
      <c r="E27" s="8"/>
      <c r="F27" s="71"/>
      <c r="G27" s="8" t="str">
        <f t="shared" si="0"/>
        <v/>
      </c>
      <c r="H27" s="8" t="str" cm="1">
        <f t="array" ref="H27">GetColorMatchValue(F27, $F$3:$F$10)</f>
        <v/>
      </c>
      <c r="I27" s="99" t="str">
        <f>"&lt;tr&gt;&lt;th colspan=""3""&gt;&lt;label&gt;"&amp;D26&amp;"&lt;input type=""checkbox"" class=""section-toggle"" data-section="""&amp;A26&amp;B26&amp;C26&amp;"""/&gt;&lt;/label&gt;&lt;/th&gt;&lt;/tr&gt;"</f>
        <v>&lt;tr&gt;&lt;th colspan="3"&gt;&lt;label&gt;&lt;input type="checkbox" class="section-toggle" data-section="113"/&gt;&lt;/label&gt;&lt;/th&gt;&lt;/tr&gt;</v>
      </c>
    </row>
    <row r="28" spans="1:9" ht="15" customHeight="1" x14ac:dyDescent="0.25">
      <c r="A28" s="8">
        <v>1</v>
      </c>
      <c r="B28" s="8">
        <v>1</v>
      </c>
      <c r="C28" s="8">
        <v>4</v>
      </c>
      <c r="D28" s="94" t="s">
        <v>222</v>
      </c>
      <c r="E28" s="7">
        <v>0.6</v>
      </c>
      <c r="F28" s="73">
        <f t="shared" ref="F28:F30" si="4">$E$7*E28</f>
        <v>57</v>
      </c>
      <c r="G28" s="8">
        <f t="shared" si="0"/>
        <v>60</v>
      </c>
      <c r="H28" s="8" t="str" cm="1">
        <f t="array" ref="H28">GetColorMatchValue(F28, $F$3:$F$10)</f>
        <v>s</v>
      </c>
      <c r="I28" s="101" t="str">
        <f t="shared" ref="I28:I30" si="5">"&lt;tr data-section="""&amp;A27&amp;B27&amp;C27&amp;"""&gt;&lt;td&gt;"&amp;D27&amp;"&lt;/td&gt;&lt;td&gt;"&amp;G27&amp;"%&lt;/td&gt;&lt;td&gt;${percent("&amp;H27&amp;", "&amp;G27&amp;")}kg&lt;/td&gt;&lt;/tr&gt;"</f>
        <v>&lt;tr data-section="114"&gt;&lt;td&gt;Snatch Pull to Knee + Snatch&lt;/td&gt;&lt;td&gt;%&lt;/td&gt;&lt;td&gt;${percent(, )}kg&lt;/td&gt;&lt;/tr&gt;</v>
      </c>
    </row>
    <row r="29" spans="1:9" ht="15" customHeight="1" x14ac:dyDescent="0.25">
      <c r="A29" s="8">
        <v>1</v>
      </c>
      <c r="B29" s="8">
        <v>1</v>
      </c>
      <c r="C29" s="8">
        <v>4</v>
      </c>
      <c r="D29" s="94" t="s">
        <v>222</v>
      </c>
      <c r="E29" s="7">
        <v>0.7</v>
      </c>
      <c r="F29" s="73">
        <f t="shared" si="4"/>
        <v>66.5</v>
      </c>
      <c r="G29" s="8">
        <f t="shared" si="0"/>
        <v>70</v>
      </c>
      <c r="H29" s="8" t="str" cm="1">
        <f t="array" ref="H29">GetColorMatchValue(F29, $F$3:$F$10)</f>
        <v>s</v>
      </c>
      <c r="I29" s="101" t="str">
        <f t="shared" si="5"/>
        <v>&lt;tr data-section="114"&gt;&lt;td&gt;1 Set of 2 Sn.Pu.Kn. + 1 Sn.&lt;/td&gt;&lt;td&gt;60%&lt;/td&gt;&lt;td&gt;${percent(s, 60)}kg&lt;/td&gt;&lt;/tr&gt;</v>
      </c>
    </row>
    <row r="30" spans="1:9" ht="15" customHeight="1" x14ac:dyDescent="0.25">
      <c r="A30" s="8">
        <v>1</v>
      </c>
      <c r="B30" s="8">
        <v>1</v>
      </c>
      <c r="C30" s="8">
        <v>4</v>
      </c>
      <c r="D30" s="94" t="s">
        <v>223</v>
      </c>
      <c r="E30" s="7">
        <v>0.8</v>
      </c>
      <c r="F30" s="73">
        <f t="shared" si="4"/>
        <v>76</v>
      </c>
      <c r="G30" s="8">
        <f t="shared" si="0"/>
        <v>80</v>
      </c>
      <c r="H30" s="8" t="str" cm="1">
        <f t="array" ref="H30">GetColorMatchValue(F30, $F$3:$F$10)</f>
        <v>s</v>
      </c>
      <c r="I30" s="101" t="str">
        <f t="shared" si="5"/>
        <v>&lt;tr data-section="114"&gt;&lt;td&gt;1 Set of 2 Sn.Pu.Kn. + 1 Sn.&lt;/td&gt;&lt;td&gt;70%&lt;/td&gt;&lt;td&gt;${percent(s, 70)}kg&lt;/td&gt;&lt;/tr&gt;</v>
      </c>
    </row>
    <row r="31" spans="1:9" ht="15" customHeight="1" x14ac:dyDescent="0.25">
      <c r="A31" s="8">
        <v>1</v>
      </c>
      <c r="B31" s="8">
        <v>1</v>
      </c>
      <c r="C31" s="8">
        <v>4</v>
      </c>
      <c r="D31" s="94"/>
      <c r="E31" s="8"/>
      <c r="F31" s="71"/>
      <c r="G31" s="8" t="str">
        <f t="shared" si="0"/>
        <v/>
      </c>
      <c r="H31" s="8" t="str" cm="1">
        <f t="array" ref="H31">GetColorMatchValue(F31, $F$3:$F$10)</f>
        <v/>
      </c>
      <c r="I31" s="96" t="s">
        <v>287</v>
      </c>
    </row>
    <row r="32" spans="1:9" ht="15" customHeight="1" x14ac:dyDescent="0.25">
      <c r="A32" s="8">
        <v>1</v>
      </c>
      <c r="B32" s="8">
        <v>1</v>
      </c>
      <c r="C32" s="8">
        <v>5</v>
      </c>
      <c r="D32" s="93" t="s">
        <v>3</v>
      </c>
      <c r="E32" s="8"/>
      <c r="F32" s="71"/>
      <c r="G32" s="8" t="str">
        <f t="shared" si="0"/>
        <v/>
      </c>
      <c r="H32" s="8" t="str" cm="1">
        <f t="array" ref="H32">GetColorMatchValue(F32, $F$3:$F$10)</f>
        <v/>
      </c>
      <c r="I32" s="99" t="str">
        <f>"&lt;tr&gt;&lt;th colspan=""3""&gt;&lt;label&gt;"&amp;D31&amp;"&lt;input type=""checkbox"" class=""section-toggle"" data-section="""&amp;A31&amp;B31&amp;C31&amp;"""/&gt;&lt;/label&gt;&lt;/th&gt;&lt;/tr&gt;"</f>
        <v>&lt;tr&gt;&lt;th colspan="3"&gt;&lt;label&gt;&lt;input type="checkbox" class="section-toggle" data-section="114"/&gt;&lt;/label&gt;&lt;/th&gt;&lt;/tr&gt;</v>
      </c>
    </row>
    <row r="33" spans="1:15" ht="15" customHeight="1" x14ac:dyDescent="0.25">
      <c r="A33" s="8">
        <v>1</v>
      </c>
      <c r="B33" s="8">
        <v>1</v>
      </c>
      <c r="C33" s="8">
        <v>5</v>
      </c>
      <c r="D33" s="94" t="s">
        <v>224</v>
      </c>
      <c r="E33" s="7">
        <v>0.75</v>
      </c>
      <c r="F33" s="74">
        <f>$E$5*E33</f>
        <v>67.5</v>
      </c>
      <c r="G33" s="8">
        <f t="shared" si="0"/>
        <v>75</v>
      </c>
      <c r="H33" s="8" t="str" cm="1">
        <f t="array" ref="H33">GetColorMatchValue(F33, $F$3:$F$10)</f>
        <v>os</v>
      </c>
      <c r="I33" s="101" t="str">
        <f>"&lt;tr data-section="""&amp;A32&amp;B32&amp;C32&amp;"""&gt;&lt;td&gt;"&amp;D32&amp;"&lt;/td&gt;&lt;td&gt;"&amp;G32&amp;"%&lt;/td&gt;&lt;td&gt;${percent("&amp;H32&amp;", "&amp;G32&amp;")}kg&lt;/td&gt;&lt;/tr&gt;"</f>
        <v>&lt;tr data-section="115"&gt;&lt;td&gt;Snatch Grip Behind the Neck Push Press + Overhead Squat&lt;/td&gt;&lt;td&gt;%&lt;/td&gt;&lt;td&gt;${percent(, )}kg&lt;/td&gt;&lt;/tr&gt;</v>
      </c>
    </row>
    <row r="34" spans="1:15" ht="15" customHeight="1" x14ac:dyDescent="0.25">
      <c r="A34" s="8">
        <v>1</v>
      </c>
      <c r="B34" s="8">
        <v>2</v>
      </c>
      <c r="C34" s="8">
        <v>1</v>
      </c>
      <c r="D34" s="93" t="s">
        <v>0</v>
      </c>
      <c r="E34" s="8"/>
      <c r="F34" s="71"/>
      <c r="G34" s="8" t="str">
        <f t="shared" si="0"/>
        <v/>
      </c>
      <c r="H34" s="8" t="str" cm="1">
        <f t="array" ref="H34">GetColorMatchValue(F34, $F$3:$F$10)</f>
        <v/>
      </c>
      <c r="I34" s="99" t="str">
        <f>"&lt;tr&gt;&lt;th colspan=""3""&gt;&lt;label&gt;"&amp;D33&amp;"&lt;input type=""checkbox"" class=""section-toggle"" data-section="""&amp;A33&amp;B33&amp;C33&amp;"""/&gt;&lt;/label&gt;&lt;/th&gt;&lt;/tr&gt;"</f>
        <v>&lt;tr&gt;&lt;th colspan="3"&gt;&lt;label&gt;3 Sets of 3 Sn.Gr.Be.Ne.P.Pr. + 2 Oh.Sq.&lt;input type="checkbox" class="section-toggle" data-section="115"/&gt;&lt;/label&gt;&lt;/th&gt;&lt;/tr&gt;</v>
      </c>
      <c r="J34" s="2"/>
      <c r="O34" s="45"/>
    </row>
    <row r="35" spans="1:15" ht="15" customHeight="1" x14ac:dyDescent="0.25">
      <c r="A35" s="8">
        <v>1</v>
      </c>
      <c r="B35" s="8">
        <v>2</v>
      </c>
      <c r="C35" s="8">
        <v>1</v>
      </c>
      <c r="D35" s="94" t="s">
        <v>189</v>
      </c>
      <c r="E35" s="7">
        <v>0.6</v>
      </c>
      <c r="F35" s="72">
        <f>$E$3*E35</f>
        <v>120</v>
      </c>
      <c r="G35" s="8">
        <f t="shared" si="0"/>
        <v>60</v>
      </c>
      <c r="H35" s="8" t="str" cm="1">
        <f t="array" ref="H35">GetColorMatchValue(F35, $F$3:$F$10)</f>
        <v>bs</v>
      </c>
      <c r="I35" s="101" t="str">
        <f>"&lt;tr data-section="""&amp;A34&amp;B34&amp;C34&amp;"""&gt;&lt;td&gt;"&amp;D34&amp;"&lt;/td&gt;&lt;td&gt;"&amp;G34&amp;"%&lt;/td&gt;&lt;td&gt;${percent("&amp;H34&amp;", "&amp;G34&amp;")}kg&lt;/td&gt;&lt;/tr&gt;"</f>
        <v>&lt;tr data-section="121"&gt;&lt;td&gt;Back Squat&lt;/td&gt;&lt;td&gt;%&lt;/td&gt;&lt;td&gt;${percent(, )}kg&lt;/td&gt;&lt;/tr&gt;</v>
      </c>
      <c r="O35" s="45"/>
    </row>
    <row r="36" spans="1:15" ht="15" customHeight="1" x14ac:dyDescent="0.25">
      <c r="A36" s="8">
        <v>1</v>
      </c>
      <c r="B36" s="8">
        <v>2</v>
      </c>
      <c r="C36" s="8">
        <v>1</v>
      </c>
      <c r="D36" s="94"/>
      <c r="E36" s="8"/>
      <c r="F36" s="71"/>
      <c r="G36" s="8" t="str">
        <f t="shared" si="0"/>
        <v/>
      </c>
      <c r="H36" s="8" t="str" cm="1">
        <f t="array" ref="H36">GetColorMatchValue(F36, $F$3:$F$10)</f>
        <v/>
      </c>
      <c r="I36" s="96" t="s">
        <v>287</v>
      </c>
      <c r="J36" s="2"/>
      <c r="O36" s="45"/>
    </row>
    <row r="37" spans="1:15" ht="15" customHeight="1" x14ac:dyDescent="0.25">
      <c r="A37" s="8">
        <v>1</v>
      </c>
      <c r="B37" s="8">
        <v>2</v>
      </c>
      <c r="C37" s="8">
        <v>2</v>
      </c>
      <c r="D37" s="93" t="s">
        <v>20</v>
      </c>
      <c r="E37" s="8"/>
      <c r="F37" s="71"/>
      <c r="G37" s="8" t="str">
        <f t="shared" si="0"/>
        <v/>
      </c>
      <c r="H37" s="8" t="str" cm="1">
        <f t="array" ref="H37">GetColorMatchValue(F37, $F$3:$F$10)</f>
        <v/>
      </c>
      <c r="I37" s="99" t="str">
        <f>"&lt;tr&gt;&lt;th colspan=""3""&gt;&lt;label&gt;"&amp;D36&amp;"&lt;input type=""checkbox"" class=""section-toggle"" data-section="""&amp;A36&amp;B36&amp;C36&amp;"""/&gt;&lt;/label&gt;&lt;/th&gt;&lt;/tr&gt;"</f>
        <v>&lt;tr&gt;&lt;th colspan="3"&gt;&lt;label&gt;&lt;input type="checkbox" class="section-toggle" data-section="121"/&gt;&lt;/label&gt;&lt;/th&gt;&lt;/tr&gt;</v>
      </c>
      <c r="O37" s="45"/>
    </row>
    <row r="38" spans="1:15" ht="15" customHeight="1" x14ac:dyDescent="0.25">
      <c r="A38" s="8">
        <v>1</v>
      </c>
      <c r="B38" s="8">
        <v>2</v>
      </c>
      <c r="C38" s="8">
        <v>2</v>
      </c>
      <c r="D38" s="94" t="s">
        <v>205</v>
      </c>
      <c r="E38" s="7">
        <v>0.9</v>
      </c>
      <c r="F38" s="75">
        <f>$E$6*E38</f>
        <v>99</v>
      </c>
      <c r="G38" s="8">
        <f t="shared" si="0"/>
        <v>90</v>
      </c>
      <c r="H38" s="8" t="str" cm="1">
        <f t="array" ref="H38">GetColorMatchValue(F38, $F$3:$F$10)</f>
        <v>c</v>
      </c>
      <c r="I38" s="101" t="str">
        <f>"&lt;tr data-section="""&amp;A37&amp;B37&amp;C37&amp;"""&gt;&lt;td&gt;"&amp;D37&amp;"&lt;/td&gt;&lt;td&gt;"&amp;G37&amp;"%&lt;/td&gt;&lt;td&gt;${percent("&amp;H37&amp;", "&amp;G37&amp;")}kg&lt;/td&gt;&lt;/tr&gt;"</f>
        <v>&lt;tr data-section="122"&gt;&lt;td&gt;Clean Deadlift&lt;/td&gt;&lt;td&gt;%&lt;/td&gt;&lt;td&gt;${percent(, )}kg&lt;/td&gt;&lt;/tr&gt;</v>
      </c>
      <c r="O38" s="45"/>
    </row>
    <row r="39" spans="1:15" ht="15" customHeight="1" x14ac:dyDescent="0.25">
      <c r="A39" s="8">
        <v>1</v>
      </c>
      <c r="B39" s="8">
        <v>2</v>
      </c>
      <c r="C39" s="8">
        <v>2</v>
      </c>
      <c r="D39" s="94"/>
      <c r="E39" s="8"/>
      <c r="F39" s="71"/>
      <c r="G39" s="8" t="str">
        <f t="shared" si="0"/>
        <v/>
      </c>
      <c r="H39" s="8" t="str" cm="1">
        <f t="array" ref="H39">GetColorMatchValue(F39, $F$3:$F$10)</f>
        <v/>
      </c>
      <c r="I39" s="96" t="s">
        <v>287</v>
      </c>
      <c r="O39" s="45"/>
    </row>
    <row r="40" spans="1:15" ht="15" customHeight="1" x14ac:dyDescent="0.25">
      <c r="A40" s="8">
        <v>1</v>
      </c>
      <c r="B40" s="8">
        <v>2</v>
      </c>
      <c r="C40" s="8">
        <v>3</v>
      </c>
      <c r="D40" s="93" t="s">
        <v>84</v>
      </c>
      <c r="E40" s="8"/>
      <c r="F40" s="71"/>
      <c r="G40" s="8" t="str">
        <f t="shared" si="0"/>
        <v/>
      </c>
      <c r="H40" s="8" t="str" cm="1">
        <f t="array" ref="H40">GetColorMatchValue(F40, $F$3:$F$10)</f>
        <v/>
      </c>
      <c r="I40" s="99" t="str">
        <f>"&lt;tr&gt;&lt;th colspan=""3""&gt;&lt;label&gt;"&amp;D39&amp;"&lt;input type=""checkbox"" class=""section-toggle"" data-section="""&amp;A39&amp;B39&amp;C39&amp;"""/&gt;&lt;/label&gt;&lt;/th&gt;&lt;/tr&gt;"</f>
        <v>&lt;tr&gt;&lt;th colspan="3"&gt;&lt;label&gt;&lt;input type="checkbox" class="section-toggle" data-section="122"/&gt;&lt;/label&gt;&lt;/th&gt;&lt;/tr&gt;</v>
      </c>
      <c r="O40" s="45"/>
    </row>
    <row r="41" spans="1:15" ht="15" customHeight="1" x14ac:dyDescent="0.25">
      <c r="A41" s="8">
        <v>1</v>
      </c>
      <c r="B41" s="8">
        <v>2</v>
      </c>
      <c r="C41" s="8">
        <v>3</v>
      </c>
      <c r="D41" s="94" t="s">
        <v>212</v>
      </c>
      <c r="E41" s="7">
        <v>0.6</v>
      </c>
      <c r="F41" s="75">
        <f t="shared" ref="F41:F42" si="6">$E$6*E41</f>
        <v>66</v>
      </c>
      <c r="G41" s="8">
        <f t="shared" si="0"/>
        <v>60</v>
      </c>
      <c r="H41" s="8" t="str" cm="1">
        <f t="array" ref="H41">GetColorMatchValue(F41, $F$3:$F$10)</f>
        <v>c</v>
      </c>
      <c r="I41" s="101" t="str">
        <f t="shared" ref="I41:I42" si="7">"&lt;tr data-section="""&amp;A40&amp;B40&amp;C40&amp;"""&gt;&lt;td&gt;"&amp;D40&amp;"&lt;/td&gt;&lt;td&gt;"&amp;G40&amp;"%&lt;/td&gt;&lt;td&gt;${percent("&amp;H40&amp;", "&amp;G40&amp;")}kg&lt;/td&gt;&lt;/tr&gt;"</f>
        <v>&lt;tr data-section="123"&gt;&lt;td&gt;Power Clean from Blocks Below the Knee &lt;/td&gt;&lt;td&gt;%&lt;/td&gt;&lt;td&gt;${percent(, )}kg&lt;/td&gt;&lt;/tr&gt;</v>
      </c>
      <c r="O41" s="45"/>
    </row>
    <row r="42" spans="1:15" ht="15" customHeight="1" x14ac:dyDescent="0.25">
      <c r="A42" s="8">
        <v>1</v>
      </c>
      <c r="B42" s="8">
        <v>2</v>
      </c>
      <c r="C42" s="8">
        <v>3</v>
      </c>
      <c r="D42" s="94" t="s">
        <v>221</v>
      </c>
      <c r="E42" s="7">
        <v>0.7</v>
      </c>
      <c r="F42" s="75">
        <f t="shared" si="6"/>
        <v>77</v>
      </c>
      <c r="G42" s="8">
        <f t="shared" si="0"/>
        <v>70</v>
      </c>
      <c r="H42" s="8" t="str" cm="1">
        <f t="array" ref="H42">GetColorMatchValue(F42, $F$3:$F$10)</f>
        <v>c</v>
      </c>
      <c r="I42" s="101" t="str">
        <f t="shared" si="7"/>
        <v>&lt;tr data-section="123"&gt;&lt;td&gt;1 Set of 1 Rep&lt;/td&gt;&lt;td&gt;60%&lt;/td&gt;&lt;td&gt;${percent(c, 60)}kg&lt;/td&gt;&lt;/tr&gt;</v>
      </c>
      <c r="O42" s="45"/>
    </row>
    <row r="43" spans="1:15" ht="15" customHeight="1" x14ac:dyDescent="0.25">
      <c r="A43" s="8">
        <v>1</v>
      </c>
      <c r="B43" s="8">
        <v>2</v>
      </c>
      <c r="C43" s="8">
        <v>3</v>
      </c>
      <c r="D43" s="94"/>
      <c r="E43" s="8"/>
      <c r="F43" s="71"/>
      <c r="G43" s="8" t="str">
        <f t="shared" si="0"/>
        <v/>
      </c>
      <c r="H43" s="8" t="str" cm="1">
        <f t="array" ref="H43">GetColorMatchValue(F43, $F$3:$F$10)</f>
        <v/>
      </c>
      <c r="I43" s="96" t="s">
        <v>287</v>
      </c>
      <c r="O43" s="45"/>
    </row>
    <row r="44" spans="1:15" ht="15" customHeight="1" x14ac:dyDescent="0.25">
      <c r="A44" s="8">
        <v>1</v>
      </c>
      <c r="B44" s="8">
        <v>2</v>
      </c>
      <c r="C44" s="8">
        <v>4</v>
      </c>
      <c r="D44" s="93" t="s">
        <v>21</v>
      </c>
      <c r="E44" s="8"/>
      <c r="F44" s="71"/>
      <c r="G44" s="8" t="str">
        <f t="shared" si="0"/>
        <v/>
      </c>
      <c r="H44" s="8" t="str" cm="1">
        <f t="array" ref="H44">GetColorMatchValue(F44, $F$3:$F$10)</f>
        <v/>
      </c>
      <c r="I44" s="99" t="str">
        <f>"&lt;tr&gt;&lt;th colspan=""3""&gt;&lt;label&gt;"&amp;D43&amp;"&lt;input type=""checkbox"" class=""section-toggle"" data-section="""&amp;A43&amp;B43&amp;C43&amp;"""/&gt;&lt;/label&gt;&lt;/th&gt;&lt;/tr&gt;"</f>
        <v>&lt;tr&gt;&lt;th colspan="3"&gt;&lt;label&gt;&lt;input type="checkbox" class="section-toggle" data-section="123"/&gt;&lt;/label&gt;&lt;/th&gt;&lt;/tr&gt;</v>
      </c>
      <c r="O44" s="45"/>
    </row>
    <row r="45" spans="1:15" ht="15" customHeight="1" x14ac:dyDescent="0.25">
      <c r="A45" s="8">
        <v>1</v>
      </c>
      <c r="B45" s="8">
        <v>2</v>
      </c>
      <c r="C45" s="8">
        <v>4</v>
      </c>
      <c r="D45" s="94" t="s">
        <v>225</v>
      </c>
      <c r="E45" s="7">
        <v>0.6</v>
      </c>
      <c r="F45" s="75">
        <f t="shared" ref="F45:F46" si="8">$E$6*E45</f>
        <v>66</v>
      </c>
      <c r="G45" s="8">
        <f t="shared" si="0"/>
        <v>60</v>
      </c>
      <c r="H45" s="8" t="str" cm="1">
        <f t="array" ref="H45">GetColorMatchValue(F45, $F$3:$F$10)</f>
        <v>c</v>
      </c>
      <c r="I45" s="101" t="str">
        <f t="shared" ref="I45:I46" si="9">"&lt;tr data-section="""&amp;A44&amp;B44&amp;C44&amp;"""&gt;&lt;td&gt;"&amp;D44&amp;"&lt;/td&gt;&lt;td&gt;"&amp;G44&amp;"%&lt;/td&gt;&lt;td&gt;${percent("&amp;H44&amp;", "&amp;G44&amp;")}kg&lt;/td&gt;&lt;/tr&gt;"</f>
        <v>&lt;tr data-section="124"&gt;&lt;td&gt;Clean Pull to Knee + Clean&lt;/td&gt;&lt;td&gt;%&lt;/td&gt;&lt;td&gt;${percent(, )}kg&lt;/td&gt;&lt;/tr&gt;</v>
      </c>
      <c r="O45" s="45"/>
    </row>
    <row r="46" spans="1:15" ht="15" customHeight="1" x14ac:dyDescent="0.25">
      <c r="A46" s="8">
        <v>1</v>
      </c>
      <c r="B46" s="8">
        <v>2</v>
      </c>
      <c r="C46" s="8">
        <v>4</v>
      </c>
      <c r="D46" s="94" t="s">
        <v>226</v>
      </c>
      <c r="E46" s="7">
        <v>0.7</v>
      </c>
      <c r="F46" s="75">
        <f t="shared" si="8"/>
        <v>77</v>
      </c>
      <c r="G46" s="8">
        <f t="shared" si="0"/>
        <v>70</v>
      </c>
      <c r="H46" s="8" t="str" cm="1">
        <f t="array" ref="H46">GetColorMatchValue(F46, $F$3:$F$10)</f>
        <v>c</v>
      </c>
      <c r="I46" s="101" t="str">
        <f t="shared" si="9"/>
        <v>&lt;tr data-section="124"&gt;&lt;td&gt;1 Set of 2 Cl.Pu.Kn. + 1 Cl.&lt;/td&gt;&lt;td&gt;60%&lt;/td&gt;&lt;td&gt;${percent(c, 60)}kg&lt;/td&gt;&lt;/tr&gt;</v>
      </c>
      <c r="O46" s="45"/>
    </row>
    <row r="47" spans="1:15" ht="15" customHeight="1" x14ac:dyDescent="0.25">
      <c r="A47" s="8">
        <v>1</v>
      </c>
      <c r="B47" s="8">
        <v>2</v>
      </c>
      <c r="C47" s="8">
        <v>4</v>
      </c>
      <c r="D47" s="94"/>
      <c r="E47" s="8"/>
      <c r="F47" s="71"/>
      <c r="G47" s="8" t="str">
        <f t="shared" si="0"/>
        <v/>
      </c>
      <c r="H47" s="8" t="str" cm="1">
        <f t="array" ref="H47">GetColorMatchValue(F47, $F$3:$F$10)</f>
        <v/>
      </c>
      <c r="I47" s="96" t="s">
        <v>287</v>
      </c>
      <c r="O47" s="45"/>
    </row>
    <row r="48" spans="1:15" ht="15" customHeight="1" x14ac:dyDescent="0.25">
      <c r="A48" s="8">
        <v>1</v>
      </c>
      <c r="B48" s="8">
        <v>2</v>
      </c>
      <c r="C48" s="8">
        <v>5</v>
      </c>
      <c r="D48" s="93" t="s">
        <v>22</v>
      </c>
      <c r="E48" s="8"/>
      <c r="F48" s="71"/>
      <c r="G48" s="8" t="str">
        <f t="shared" si="0"/>
        <v/>
      </c>
      <c r="H48" s="8" t="str" cm="1">
        <f t="array" ref="H48">GetColorMatchValue(F48, $F$3:$F$10)</f>
        <v/>
      </c>
      <c r="I48" s="99" t="str">
        <f>"&lt;tr&gt;&lt;th colspan=""3""&gt;&lt;label&gt;"&amp;D47&amp;"&lt;input type=""checkbox"" class=""section-toggle"" data-section="""&amp;A47&amp;B47&amp;C47&amp;"""/&gt;&lt;/label&gt;&lt;/th&gt;&lt;/tr&gt;"</f>
        <v>&lt;tr&gt;&lt;th colspan="3"&gt;&lt;label&gt;&lt;input type="checkbox" class="section-toggle" data-section="124"/&gt;&lt;/label&gt;&lt;/th&gt;&lt;/tr&gt;</v>
      </c>
      <c r="O48" s="45"/>
    </row>
    <row r="49" spans="1:15" ht="15" customHeight="1" x14ac:dyDescent="0.25">
      <c r="A49" s="8">
        <v>1</v>
      </c>
      <c r="B49" s="8">
        <v>2</v>
      </c>
      <c r="C49" s="8">
        <v>5</v>
      </c>
      <c r="D49" s="94" t="s">
        <v>227</v>
      </c>
      <c r="E49" s="7">
        <v>0.75</v>
      </c>
      <c r="F49" s="76">
        <f>$E$10*E49</f>
        <v>60</v>
      </c>
      <c r="G49" s="8">
        <f t="shared" si="0"/>
        <v>75</v>
      </c>
      <c r="H49" s="8" t="str" cm="1">
        <f t="array" ref="H49">GetColorMatchValue(F49, $F$3:$F$10)</f>
        <v>pp</v>
      </c>
      <c r="I49" s="101" t="str">
        <f>"&lt;tr data-section="""&amp;A48&amp;B48&amp;C48&amp;"""&gt;&lt;td&gt;"&amp;D48&amp;"&lt;/td&gt;&lt;td&gt;"&amp;G48&amp;"%&lt;/td&gt;&lt;td&gt;${percent("&amp;H48&amp;", "&amp;G48&amp;")}kg&lt;/td&gt;&lt;/tr&gt;"</f>
        <v>&lt;tr data-section="125"&gt;&lt;td&gt;Behind the Neck Push Press + Behind the Neck Push Jerk&lt;/td&gt;&lt;td&gt;%&lt;/td&gt;&lt;td&gt;${percent(, )}kg&lt;/td&gt;&lt;/tr&gt;</v>
      </c>
      <c r="O49" s="45"/>
    </row>
    <row r="50" spans="1:15" ht="15" customHeight="1" x14ac:dyDescent="0.25">
      <c r="A50" s="8">
        <v>1</v>
      </c>
      <c r="B50" s="8">
        <v>3</v>
      </c>
      <c r="C50" s="8">
        <v>1</v>
      </c>
      <c r="D50" s="93" t="s">
        <v>0</v>
      </c>
      <c r="E50" s="8"/>
      <c r="F50" s="71"/>
      <c r="G50" s="8" t="str">
        <f t="shared" si="0"/>
        <v/>
      </c>
      <c r="H50" s="8" t="str" cm="1">
        <f t="array" ref="H50">GetColorMatchValue(F50, $F$3:$F$10)</f>
        <v/>
      </c>
      <c r="I50" s="99" t="str">
        <f>"&lt;tr&gt;&lt;th colspan=""3""&gt;&lt;label&gt;"&amp;D49&amp;"&lt;input type=""checkbox"" class=""section-toggle"" data-section="""&amp;A49&amp;B49&amp;C49&amp;"""/&gt;&lt;/label&gt;&lt;/th&gt;&lt;/tr&gt;"</f>
        <v>&lt;tr&gt;&lt;th colspan="3"&gt;&lt;label&gt;3 Sets of 3 Be.N.P.Pr. + 3 Be.N.P.Jr.&lt;input type="checkbox" class="section-toggle" data-section="125"/&gt;&lt;/label&gt;&lt;/th&gt;&lt;/tr&gt;</v>
      </c>
      <c r="L50" s="45"/>
      <c r="O50" s="45"/>
    </row>
    <row r="51" spans="1:15" ht="15" customHeight="1" x14ac:dyDescent="0.25">
      <c r="A51" s="8">
        <v>1</v>
      </c>
      <c r="B51" s="8">
        <v>3</v>
      </c>
      <c r="C51" s="8">
        <v>1</v>
      </c>
      <c r="D51" s="94" t="s">
        <v>228</v>
      </c>
      <c r="E51" s="7">
        <v>0.6</v>
      </c>
      <c r="F51" s="72">
        <f>$E$3*E51</f>
        <v>120</v>
      </c>
      <c r="G51" s="8">
        <f t="shared" si="0"/>
        <v>60</v>
      </c>
      <c r="H51" s="8" t="str" cm="1">
        <f t="array" ref="H51">GetColorMatchValue(F51, $F$3:$F$10)</f>
        <v>bs</v>
      </c>
      <c r="I51" s="101" t="str">
        <f t="shared" ref="I51:I52" si="10">"&lt;tr data-section="""&amp;A50&amp;B50&amp;C50&amp;"""&gt;&lt;td&gt;"&amp;D50&amp;"&lt;/td&gt;&lt;td&gt;"&amp;G50&amp;"%&lt;/td&gt;&lt;td&gt;${percent("&amp;H50&amp;", "&amp;G50&amp;")}kg&lt;/td&gt;&lt;/tr&gt;"</f>
        <v>&lt;tr data-section="131"&gt;&lt;td&gt;Back Squat&lt;/td&gt;&lt;td&gt;%&lt;/td&gt;&lt;td&gt;${percent(, )}kg&lt;/td&gt;&lt;/tr&gt;</v>
      </c>
      <c r="L51" s="45"/>
      <c r="O51" s="45"/>
    </row>
    <row r="52" spans="1:15" ht="15" customHeight="1" x14ac:dyDescent="0.25">
      <c r="A52" s="8">
        <v>1</v>
      </c>
      <c r="B52" s="8">
        <v>3</v>
      </c>
      <c r="C52" s="8">
        <v>1</v>
      </c>
      <c r="D52" s="94" t="s">
        <v>203</v>
      </c>
      <c r="E52" s="7">
        <v>0.7</v>
      </c>
      <c r="F52" s="72">
        <f>$E$3*E52</f>
        <v>140</v>
      </c>
      <c r="G52" s="8">
        <f t="shared" si="0"/>
        <v>70</v>
      </c>
      <c r="H52" s="8" t="str" cm="1">
        <f t="array" ref="H52">GetColorMatchValue(F52, $F$3:$F$10)</f>
        <v>bs</v>
      </c>
      <c r="I52" s="101" t="str">
        <f t="shared" si="10"/>
        <v>&lt;tr data-section="131"&gt;&lt;td&gt;1 Set of 5 Reps&lt;/td&gt;&lt;td&gt;60%&lt;/td&gt;&lt;td&gt;${percent(bs, 60)}kg&lt;/td&gt;&lt;/tr&gt;</v>
      </c>
      <c r="L52" s="45"/>
      <c r="O52" s="45"/>
    </row>
    <row r="53" spans="1:15" ht="15" customHeight="1" x14ac:dyDescent="0.25">
      <c r="A53" s="8">
        <v>1</v>
      </c>
      <c r="B53" s="8">
        <v>3</v>
      </c>
      <c r="C53" s="8">
        <v>1</v>
      </c>
      <c r="D53" s="94"/>
      <c r="E53" s="8"/>
      <c r="F53" s="71"/>
      <c r="G53" s="8" t="str">
        <f t="shared" si="0"/>
        <v/>
      </c>
      <c r="H53" s="8" t="str" cm="1">
        <f t="array" ref="H53">GetColorMatchValue(F53, $F$3:$F$10)</f>
        <v/>
      </c>
      <c r="I53" s="96" t="s">
        <v>287</v>
      </c>
      <c r="L53" s="45"/>
      <c r="O53" s="45"/>
    </row>
    <row r="54" spans="1:15" ht="15" customHeight="1" x14ac:dyDescent="0.25">
      <c r="A54" s="8">
        <v>1</v>
      </c>
      <c r="B54" s="8">
        <v>3</v>
      </c>
      <c r="C54" s="8">
        <v>2</v>
      </c>
      <c r="D54" s="93" t="s">
        <v>82</v>
      </c>
      <c r="E54" s="8"/>
      <c r="F54" s="71"/>
      <c r="G54" s="8" t="str">
        <f t="shared" si="0"/>
        <v/>
      </c>
      <c r="H54" s="8" t="str" cm="1">
        <f t="array" ref="H54">GetColorMatchValue(F54, $F$3:$F$10)</f>
        <v/>
      </c>
      <c r="I54" s="99" t="str">
        <f>"&lt;tr&gt;&lt;th colspan=""3""&gt;&lt;label&gt;"&amp;D53&amp;"&lt;input type=""checkbox"" class=""section-toggle"" data-section="""&amp;A53&amp;B53&amp;C53&amp;"""/&gt;&lt;/label&gt;&lt;/th&gt;&lt;/tr&gt;"</f>
        <v>&lt;tr&gt;&lt;th colspan="3"&gt;&lt;label&gt;&lt;input type="checkbox" class="section-toggle" data-section="131"/&gt;&lt;/label&gt;&lt;/th&gt;&lt;/tr&gt;</v>
      </c>
      <c r="L54" s="45"/>
      <c r="O54" s="45"/>
    </row>
    <row r="55" spans="1:15" ht="15" customHeight="1" x14ac:dyDescent="0.25">
      <c r="A55" s="8">
        <v>1</v>
      </c>
      <c r="B55" s="8">
        <v>3</v>
      </c>
      <c r="C55" s="8">
        <v>2</v>
      </c>
      <c r="D55" s="94" t="s">
        <v>215</v>
      </c>
      <c r="E55" s="7">
        <v>0.95</v>
      </c>
      <c r="F55" s="73">
        <f>$E$7*E55</f>
        <v>90.25</v>
      </c>
      <c r="G55" s="8">
        <f t="shared" si="0"/>
        <v>95</v>
      </c>
      <c r="H55" s="8" t="str" cm="1">
        <f t="array" ref="H55">GetColorMatchValue(F55, $F$3:$F$10)</f>
        <v>s</v>
      </c>
      <c r="I55" s="101" t="str">
        <f>"&lt;tr data-section="""&amp;A54&amp;B54&amp;C54&amp;"""&gt;&lt;td&gt;"&amp;D54&amp;"&lt;/td&gt;&lt;td&gt;"&amp;G54&amp;"%&lt;/td&gt;&lt;td&gt;${percent("&amp;H54&amp;", "&amp;G54&amp;")}kg&lt;/td&gt;&lt;/tr&gt;"</f>
        <v>&lt;tr data-section="132"&gt;&lt;td&gt;Snatch Deadlift &lt;/td&gt;&lt;td&gt;%&lt;/td&gt;&lt;td&gt;${percent(, )}kg&lt;/td&gt;&lt;/tr&gt;</v>
      </c>
      <c r="L55" s="45"/>
      <c r="O55" s="45"/>
    </row>
    <row r="56" spans="1:15" ht="15" customHeight="1" x14ac:dyDescent="0.25">
      <c r="A56" s="8">
        <v>1</v>
      </c>
      <c r="B56" s="8">
        <v>3</v>
      </c>
      <c r="C56" s="8">
        <v>2</v>
      </c>
      <c r="D56" s="94"/>
      <c r="E56" s="8"/>
      <c r="F56" s="71"/>
      <c r="G56" s="8" t="str">
        <f t="shared" si="0"/>
        <v/>
      </c>
      <c r="H56" s="8" t="str" cm="1">
        <f t="array" ref="H56">GetColorMatchValue(F56, $F$3:$F$10)</f>
        <v/>
      </c>
      <c r="I56" s="96" t="s">
        <v>287</v>
      </c>
      <c r="L56" s="45"/>
      <c r="O56" s="45"/>
    </row>
    <row r="57" spans="1:15" ht="15" customHeight="1" x14ac:dyDescent="0.25">
      <c r="A57" s="8">
        <v>1</v>
      </c>
      <c r="B57" s="8">
        <v>3</v>
      </c>
      <c r="C57" s="8">
        <v>3</v>
      </c>
      <c r="D57" s="93" t="s">
        <v>85</v>
      </c>
      <c r="E57" s="8"/>
      <c r="F57" s="71"/>
      <c r="G57" s="8" t="str">
        <f t="shared" si="0"/>
        <v/>
      </c>
      <c r="H57" s="8" t="str" cm="1">
        <f t="array" ref="H57">GetColorMatchValue(F57, $F$3:$F$10)</f>
        <v/>
      </c>
      <c r="I57" s="99" t="str">
        <f>"&lt;tr&gt;&lt;th colspan=""3""&gt;&lt;label&gt;"&amp;D56&amp;"&lt;input type=""checkbox"" class=""section-toggle"" data-section="""&amp;A56&amp;B56&amp;C56&amp;"""/&gt;&lt;/label&gt;&lt;/th&gt;&lt;/tr&gt;"</f>
        <v>&lt;tr&gt;&lt;th colspan="3"&gt;&lt;label&gt;&lt;input type="checkbox" class="section-toggle" data-section="132"/&gt;&lt;/label&gt;&lt;/th&gt;&lt;/tr&gt;</v>
      </c>
      <c r="L57" s="45"/>
      <c r="O57" s="45"/>
    </row>
    <row r="58" spans="1:15" ht="15" customHeight="1" x14ac:dyDescent="0.25">
      <c r="A58" s="8">
        <v>1</v>
      </c>
      <c r="B58" s="8">
        <v>3</v>
      </c>
      <c r="C58" s="8">
        <v>3</v>
      </c>
      <c r="D58" s="94" t="s">
        <v>212</v>
      </c>
      <c r="E58" s="7">
        <v>0.6</v>
      </c>
      <c r="F58" s="73">
        <f t="shared" ref="F58:F59" si="11">$E$7*E58</f>
        <v>57</v>
      </c>
      <c r="G58" s="8">
        <f t="shared" si="0"/>
        <v>60</v>
      </c>
      <c r="H58" s="8" t="str" cm="1">
        <f t="array" ref="H58">GetColorMatchValue(F58, $F$3:$F$10)</f>
        <v>s</v>
      </c>
      <c r="I58" s="101" t="str">
        <f t="shared" ref="I58:I59" si="12">"&lt;tr data-section="""&amp;A57&amp;B57&amp;C57&amp;"""&gt;&lt;td&gt;"&amp;D57&amp;"&lt;/td&gt;&lt;td&gt;"&amp;G57&amp;"%&lt;/td&gt;&lt;td&gt;${percent("&amp;H57&amp;", "&amp;G57&amp;")}kg&lt;/td&gt;&lt;/tr&gt;"</f>
        <v>&lt;tr data-section="133"&gt;&lt;td&gt;Power Snatch from Blocks Below the Knee &lt;/td&gt;&lt;td&gt;%&lt;/td&gt;&lt;td&gt;${percent(, )}kg&lt;/td&gt;&lt;/tr&gt;</v>
      </c>
      <c r="L58" s="45"/>
      <c r="O58" s="45"/>
    </row>
    <row r="59" spans="1:15" ht="15" customHeight="1" x14ac:dyDescent="0.25">
      <c r="A59" s="8">
        <v>1</v>
      </c>
      <c r="B59" s="8">
        <v>3</v>
      </c>
      <c r="C59" s="8">
        <v>3</v>
      </c>
      <c r="D59" s="94" t="s">
        <v>221</v>
      </c>
      <c r="E59" s="7">
        <v>0.7</v>
      </c>
      <c r="F59" s="73">
        <f t="shared" si="11"/>
        <v>66.5</v>
      </c>
      <c r="G59" s="8">
        <f t="shared" si="0"/>
        <v>70</v>
      </c>
      <c r="H59" s="8" t="str" cm="1">
        <f t="array" ref="H59">GetColorMatchValue(F59, $F$3:$F$10)</f>
        <v>s</v>
      </c>
      <c r="I59" s="101" t="str">
        <f t="shared" si="12"/>
        <v>&lt;tr data-section="133"&gt;&lt;td&gt;1 Set of 1 Rep&lt;/td&gt;&lt;td&gt;60%&lt;/td&gt;&lt;td&gt;${percent(s, 60)}kg&lt;/td&gt;&lt;/tr&gt;</v>
      </c>
      <c r="L59" s="45"/>
      <c r="O59" s="45"/>
    </row>
    <row r="60" spans="1:15" ht="15" customHeight="1" x14ac:dyDescent="0.25">
      <c r="A60" s="8">
        <v>1</v>
      </c>
      <c r="B60" s="8">
        <v>3</v>
      </c>
      <c r="C60" s="8">
        <v>3</v>
      </c>
      <c r="D60" s="94"/>
      <c r="E60" s="8"/>
      <c r="F60" s="71"/>
      <c r="G60" s="8" t="str">
        <f t="shared" si="0"/>
        <v/>
      </c>
      <c r="H60" s="8" t="str" cm="1">
        <f t="array" ref="H60">GetColorMatchValue(F60, $F$3:$F$10)</f>
        <v/>
      </c>
      <c r="I60" s="96" t="s">
        <v>287</v>
      </c>
      <c r="L60" s="45"/>
      <c r="O60" s="45"/>
    </row>
    <row r="61" spans="1:15" ht="15" customHeight="1" x14ac:dyDescent="0.25">
      <c r="A61" s="8">
        <v>1</v>
      </c>
      <c r="B61" s="8">
        <v>3</v>
      </c>
      <c r="C61" s="8">
        <v>4</v>
      </c>
      <c r="D61" s="93" t="s">
        <v>2</v>
      </c>
      <c r="E61" s="8"/>
      <c r="F61" s="71"/>
      <c r="G61" s="8" t="str">
        <f t="shared" si="0"/>
        <v/>
      </c>
      <c r="H61" s="8" t="str" cm="1">
        <f t="array" ref="H61">GetColorMatchValue(F61, $F$3:$F$10)</f>
        <v/>
      </c>
      <c r="I61" s="99" t="str">
        <f>"&lt;tr&gt;&lt;th colspan=""3""&gt;&lt;label&gt;"&amp;D60&amp;"&lt;input type=""checkbox"" class=""section-toggle"" data-section="""&amp;A60&amp;B60&amp;C60&amp;"""/&gt;&lt;/label&gt;&lt;/th&gt;&lt;/tr&gt;"</f>
        <v>&lt;tr&gt;&lt;th colspan="3"&gt;&lt;label&gt;&lt;input type="checkbox" class="section-toggle" data-section="133"/&gt;&lt;/label&gt;&lt;/th&gt;&lt;/tr&gt;</v>
      </c>
      <c r="L61" s="45"/>
      <c r="O61" s="45"/>
    </row>
    <row r="62" spans="1:15" ht="15" customHeight="1" x14ac:dyDescent="0.25">
      <c r="A62" s="8">
        <v>1</v>
      </c>
      <c r="B62" s="8">
        <v>3</v>
      </c>
      <c r="C62" s="8">
        <v>4</v>
      </c>
      <c r="D62" s="94" t="s">
        <v>222</v>
      </c>
      <c r="E62" s="7">
        <v>0.6</v>
      </c>
      <c r="F62" s="73">
        <f t="shared" ref="F62:F63" si="13">$E$7*E62</f>
        <v>57</v>
      </c>
      <c r="G62" s="8">
        <f t="shared" si="0"/>
        <v>60</v>
      </c>
      <c r="H62" s="8" t="str" cm="1">
        <f t="array" ref="H62">GetColorMatchValue(F62, $F$3:$F$10)</f>
        <v>s</v>
      </c>
      <c r="I62" s="101" t="str">
        <f t="shared" ref="I62:I63" si="14">"&lt;tr data-section="""&amp;A61&amp;B61&amp;C61&amp;"""&gt;&lt;td&gt;"&amp;D61&amp;"&lt;/td&gt;&lt;td&gt;"&amp;G61&amp;"%&lt;/td&gt;&lt;td&gt;${percent("&amp;H61&amp;", "&amp;G61&amp;")}kg&lt;/td&gt;&lt;/tr&gt;"</f>
        <v>&lt;tr data-section="134"&gt;&lt;td&gt;Snatch Pull to Knee + Snatch&lt;/td&gt;&lt;td&gt;%&lt;/td&gt;&lt;td&gt;${percent(, )}kg&lt;/td&gt;&lt;/tr&gt;</v>
      </c>
      <c r="L62" s="45"/>
      <c r="O62" s="45"/>
    </row>
    <row r="63" spans="1:15" ht="15" customHeight="1" x14ac:dyDescent="0.25">
      <c r="A63" s="8">
        <v>1</v>
      </c>
      <c r="B63" s="8">
        <v>3</v>
      </c>
      <c r="C63" s="8">
        <v>4</v>
      </c>
      <c r="D63" s="94" t="s">
        <v>244</v>
      </c>
      <c r="E63" s="7">
        <v>0.7</v>
      </c>
      <c r="F63" s="73">
        <f t="shared" si="13"/>
        <v>66.5</v>
      </c>
      <c r="G63" s="8">
        <f t="shared" si="0"/>
        <v>70</v>
      </c>
      <c r="H63" s="8" t="str" cm="1">
        <f t="array" ref="H63">GetColorMatchValue(F63, $F$3:$F$10)</f>
        <v>s</v>
      </c>
      <c r="I63" s="101" t="str">
        <f t="shared" si="14"/>
        <v>&lt;tr data-section="134"&gt;&lt;td&gt;1 Set of 2 Sn.Pu.Kn. + 1 Sn.&lt;/td&gt;&lt;td&gt;60%&lt;/td&gt;&lt;td&gt;${percent(s, 60)}kg&lt;/td&gt;&lt;/tr&gt;</v>
      </c>
      <c r="L63" s="45"/>
      <c r="O63" s="45"/>
    </row>
    <row r="64" spans="1:15" ht="15" customHeight="1" x14ac:dyDescent="0.25">
      <c r="A64" s="8">
        <v>1</v>
      </c>
      <c r="B64" s="8">
        <v>3</v>
      </c>
      <c r="C64" s="8">
        <v>4</v>
      </c>
      <c r="D64" s="94"/>
      <c r="E64" s="8"/>
      <c r="F64" s="71"/>
      <c r="G64" s="8" t="str">
        <f t="shared" si="0"/>
        <v/>
      </c>
      <c r="H64" s="8" t="str" cm="1">
        <f t="array" ref="H64">GetColorMatchValue(F64, $F$3:$F$10)</f>
        <v/>
      </c>
      <c r="I64" s="96" t="s">
        <v>287</v>
      </c>
      <c r="L64" s="45"/>
      <c r="O64" s="45"/>
    </row>
    <row r="65" spans="1:15" ht="15" customHeight="1" x14ac:dyDescent="0.25">
      <c r="A65" s="8">
        <v>1</v>
      </c>
      <c r="B65" s="8">
        <v>3</v>
      </c>
      <c r="C65" s="8">
        <v>5</v>
      </c>
      <c r="D65" s="93" t="s">
        <v>3</v>
      </c>
      <c r="E65" s="8"/>
      <c r="F65" s="71"/>
      <c r="G65" s="8" t="str">
        <f t="shared" si="0"/>
        <v/>
      </c>
      <c r="H65" s="8" t="str" cm="1">
        <f t="array" ref="H65">GetColorMatchValue(F65, $F$3:$F$10)</f>
        <v/>
      </c>
      <c r="I65" s="99" t="str">
        <f>"&lt;tr&gt;&lt;th colspan=""3""&gt;&lt;label&gt;"&amp;D64&amp;"&lt;input type=""checkbox"" class=""section-toggle"" data-section="""&amp;A64&amp;B64&amp;C64&amp;"""/&gt;&lt;/label&gt;&lt;/th&gt;&lt;/tr&gt;"</f>
        <v>&lt;tr&gt;&lt;th colspan="3"&gt;&lt;label&gt;&lt;input type="checkbox" class="section-toggle" data-section="134"/&gt;&lt;/label&gt;&lt;/th&gt;&lt;/tr&gt;</v>
      </c>
      <c r="L65" s="45"/>
      <c r="O65" s="45"/>
    </row>
    <row r="66" spans="1:15" ht="15" customHeight="1" x14ac:dyDescent="0.25">
      <c r="A66" s="8">
        <v>1</v>
      </c>
      <c r="B66" s="8">
        <v>3</v>
      </c>
      <c r="C66" s="8">
        <v>5</v>
      </c>
      <c r="D66" s="94" t="s">
        <v>245</v>
      </c>
      <c r="E66" s="7">
        <v>0.75</v>
      </c>
      <c r="F66" s="74">
        <f>$E$5*E66</f>
        <v>67.5</v>
      </c>
      <c r="G66" s="8">
        <f t="shared" si="0"/>
        <v>75</v>
      </c>
      <c r="H66" s="8" t="str" cm="1">
        <f t="array" ref="H66">GetColorMatchValue(F66, $F$3:$F$10)</f>
        <v>os</v>
      </c>
      <c r="I66" s="101" t="str">
        <f>"&lt;tr data-section="""&amp;A65&amp;B65&amp;C65&amp;"""&gt;&lt;td&gt;"&amp;D65&amp;"&lt;/td&gt;&lt;td&gt;"&amp;G65&amp;"%&lt;/td&gt;&lt;td&gt;${percent("&amp;H65&amp;", "&amp;G65&amp;")}kg&lt;/td&gt;&lt;/tr&gt;"</f>
        <v>&lt;tr data-section="135"&gt;&lt;td&gt;Snatch Grip Behind the Neck Push Press + Overhead Squat&lt;/td&gt;&lt;td&gt;%&lt;/td&gt;&lt;td&gt;${percent(, )}kg&lt;/td&gt;&lt;/tr&gt;</v>
      </c>
      <c r="L66" s="45"/>
      <c r="O66" s="45"/>
    </row>
    <row r="67" spans="1:15" ht="15" customHeight="1" x14ac:dyDescent="0.25">
      <c r="A67" s="8">
        <v>1</v>
      </c>
      <c r="B67" s="8">
        <v>4</v>
      </c>
      <c r="C67" s="8">
        <v>1</v>
      </c>
      <c r="D67" s="93" t="s">
        <v>0</v>
      </c>
      <c r="E67" s="8"/>
      <c r="F67" s="71"/>
      <c r="G67" s="8" t="str">
        <f t="shared" si="0"/>
        <v/>
      </c>
      <c r="H67" s="8" t="str" cm="1">
        <f t="array" ref="H67">GetColorMatchValue(F67, $F$3:$F$10)</f>
        <v/>
      </c>
      <c r="I67" s="99" t="str">
        <f>"&lt;tr&gt;&lt;th colspan=""3""&gt;&lt;label&gt;"&amp;D66&amp;"&lt;input type=""checkbox"" class=""section-toggle"" data-section="""&amp;A66&amp;B66&amp;C66&amp;"""/&gt;&lt;/label&gt;&lt;/th&gt;&lt;/tr&gt;"</f>
        <v>&lt;tr&gt;&lt;th colspan="3"&gt;&lt;label&gt;3 Sets of 3 Sn.Gr.Be.N.P.Pr. + 3 Oh.S.&lt;input type="checkbox" class="section-toggle" data-section="135"/&gt;&lt;/label&gt;&lt;/th&gt;&lt;/tr&gt;</v>
      </c>
      <c r="L67" s="45"/>
      <c r="O67" s="45"/>
    </row>
    <row r="68" spans="1:15" ht="15" customHeight="1" x14ac:dyDescent="0.25">
      <c r="A68" s="8">
        <v>1</v>
      </c>
      <c r="B68" s="8">
        <v>4</v>
      </c>
      <c r="C68" s="8">
        <v>1</v>
      </c>
      <c r="D68" s="94" t="s">
        <v>232</v>
      </c>
      <c r="E68" s="7">
        <v>0.6</v>
      </c>
      <c r="F68" s="72">
        <f>E3*E68</f>
        <v>120</v>
      </c>
      <c r="G68" s="8">
        <f t="shared" si="0"/>
        <v>60</v>
      </c>
      <c r="H68" s="8" t="str" cm="1">
        <f t="array" ref="H68">GetColorMatchValue(F68, $F$3:$F$10)</f>
        <v>bs</v>
      </c>
      <c r="I68" s="101" t="str">
        <f>"&lt;tr data-section="""&amp;A67&amp;B67&amp;C67&amp;"""&gt;&lt;td&gt;"&amp;D67&amp;"&lt;/td&gt;&lt;td&gt;"&amp;G67&amp;"%&lt;/td&gt;&lt;td&gt;${percent("&amp;H67&amp;", "&amp;G67&amp;")}kg&lt;/td&gt;&lt;/tr&gt;"</f>
        <v>&lt;tr data-section="141"&gt;&lt;td&gt;Back Squat&lt;/td&gt;&lt;td&gt;%&lt;/td&gt;&lt;td&gt;${percent(, )}kg&lt;/td&gt;&lt;/tr&gt;</v>
      </c>
      <c r="L68" s="45"/>
      <c r="O68" s="45"/>
    </row>
    <row r="69" spans="1:15" ht="15" customHeight="1" x14ac:dyDescent="0.25">
      <c r="A69" s="8">
        <v>1</v>
      </c>
      <c r="B69" s="8">
        <v>4</v>
      </c>
      <c r="C69" s="8">
        <v>1</v>
      </c>
      <c r="D69" s="94"/>
      <c r="E69" s="8"/>
      <c r="F69" s="71"/>
      <c r="G69" s="8" t="str">
        <f t="shared" si="0"/>
        <v/>
      </c>
      <c r="H69" s="8" t="str" cm="1">
        <f t="array" ref="H69">GetColorMatchValue(F69, $F$3:$F$10)</f>
        <v/>
      </c>
      <c r="I69" s="96" t="s">
        <v>287</v>
      </c>
      <c r="L69" s="45"/>
      <c r="O69" s="45"/>
    </row>
    <row r="70" spans="1:15" ht="15" customHeight="1" x14ac:dyDescent="0.25">
      <c r="A70" s="8">
        <v>1</v>
      </c>
      <c r="B70" s="8">
        <v>4</v>
      </c>
      <c r="C70" s="8">
        <v>2</v>
      </c>
      <c r="D70" s="93" t="s">
        <v>20</v>
      </c>
      <c r="E70" s="8"/>
      <c r="F70" s="71"/>
      <c r="G70" s="8" t="str">
        <f t="shared" si="0"/>
        <v/>
      </c>
      <c r="H70" s="8" t="str" cm="1">
        <f t="array" ref="H70">GetColorMatchValue(F70, $F$3:$F$10)</f>
        <v/>
      </c>
      <c r="I70" s="99" t="str">
        <f>"&lt;tr&gt;&lt;th colspan=""3""&gt;&lt;label&gt;"&amp;D69&amp;"&lt;input type=""checkbox"" class=""section-toggle"" data-section="""&amp;A69&amp;B69&amp;C69&amp;"""/&gt;&lt;/label&gt;&lt;/th&gt;&lt;/tr&gt;"</f>
        <v>&lt;tr&gt;&lt;th colspan="3"&gt;&lt;label&gt;&lt;input type="checkbox" class="section-toggle" data-section="141"/&gt;&lt;/label&gt;&lt;/th&gt;&lt;/tr&gt;</v>
      </c>
      <c r="L70" s="45"/>
      <c r="O70" s="45"/>
    </row>
    <row r="71" spans="1:15" ht="15" customHeight="1" x14ac:dyDescent="0.25">
      <c r="A71" s="8">
        <v>1</v>
      </c>
      <c r="B71" s="8">
        <v>4</v>
      </c>
      <c r="C71" s="8">
        <v>2</v>
      </c>
      <c r="D71" s="94" t="s">
        <v>233</v>
      </c>
      <c r="E71" s="7">
        <v>0.9</v>
      </c>
      <c r="F71" s="75">
        <f>$E$6*E71</f>
        <v>99</v>
      </c>
      <c r="G71" s="8">
        <f t="shared" si="0"/>
        <v>90</v>
      </c>
      <c r="H71" s="8" t="str" cm="1">
        <f t="array" ref="H71">GetColorMatchValue(F71, $F$3:$F$10)</f>
        <v>c</v>
      </c>
      <c r="I71" s="101" t="str">
        <f>"&lt;tr data-section="""&amp;A70&amp;B70&amp;C70&amp;"""&gt;&lt;td&gt;"&amp;D70&amp;"&lt;/td&gt;&lt;td&gt;"&amp;G70&amp;"%&lt;/td&gt;&lt;td&gt;${percent("&amp;H70&amp;", "&amp;G70&amp;")}kg&lt;/td&gt;&lt;/tr&gt;"</f>
        <v>&lt;tr data-section="142"&gt;&lt;td&gt;Clean Deadlift&lt;/td&gt;&lt;td&gt;%&lt;/td&gt;&lt;td&gt;${percent(, )}kg&lt;/td&gt;&lt;/tr&gt;</v>
      </c>
      <c r="L71" s="45"/>
      <c r="O71" s="45"/>
    </row>
    <row r="72" spans="1:15" ht="15" customHeight="1" x14ac:dyDescent="0.25">
      <c r="A72" s="8">
        <v>1</v>
      </c>
      <c r="B72" s="8">
        <v>4</v>
      </c>
      <c r="C72" s="8">
        <v>2</v>
      </c>
      <c r="D72" s="94"/>
      <c r="E72" s="8"/>
      <c r="F72" s="71"/>
      <c r="G72" s="8" t="str">
        <f t="shared" si="0"/>
        <v/>
      </c>
      <c r="H72" s="8" t="str" cm="1">
        <f t="array" ref="H72">GetColorMatchValue(F72, $F$3:$F$10)</f>
        <v/>
      </c>
      <c r="I72" s="96" t="s">
        <v>287</v>
      </c>
      <c r="L72" s="45"/>
      <c r="O72" s="45"/>
    </row>
    <row r="73" spans="1:15" ht="15" customHeight="1" x14ac:dyDescent="0.25">
      <c r="A73" s="8">
        <v>1</v>
      </c>
      <c r="B73" s="8">
        <v>4</v>
      </c>
      <c r="C73" s="8">
        <v>3</v>
      </c>
      <c r="D73" s="93" t="s">
        <v>23</v>
      </c>
      <c r="E73" s="8"/>
      <c r="F73" s="71"/>
      <c r="G73" s="8" t="str">
        <f t="shared" si="0"/>
        <v/>
      </c>
      <c r="H73" s="8" t="str" cm="1">
        <f t="array" ref="H73">GetColorMatchValue(F73, $F$3:$F$10)</f>
        <v/>
      </c>
      <c r="I73" s="99" t="str">
        <f>"&lt;tr&gt;&lt;th colspan=""3""&gt;&lt;label&gt;"&amp;D72&amp;"&lt;input type=""checkbox"" class=""section-toggle"" data-section="""&amp;A72&amp;B72&amp;C72&amp;"""/&gt;&lt;/label&gt;&lt;/th&gt;&lt;/tr&gt;"</f>
        <v>&lt;tr&gt;&lt;th colspan="3"&gt;&lt;label&gt;&lt;input type="checkbox" class="section-toggle" data-section="142"/&gt;&lt;/label&gt;&lt;/th&gt;&lt;/tr&gt;</v>
      </c>
      <c r="L73" s="45"/>
      <c r="O73" s="45"/>
    </row>
    <row r="74" spans="1:15" ht="15" customHeight="1" x14ac:dyDescent="0.25">
      <c r="A74" s="8">
        <v>1</v>
      </c>
      <c r="B74" s="8">
        <v>4</v>
      </c>
      <c r="C74" s="8">
        <v>3</v>
      </c>
      <c r="D74" s="94" t="s">
        <v>202</v>
      </c>
      <c r="E74" s="7">
        <v>0.6</v>
      </c>
      <c r="F74" s="76">
        <f>$E$10*E74</f>
        <v>48</v>
      </c>
      <c r="G74" s="8">
        <f t="shared" si="0"/>
        <v>60</v>
      </c>
      <c r="H74" s="8" t="str" cm="1">
        <f t="array" ref="H74">GetColorMatchValue(F74, $F$3:$F$10)</f>
        <v>pp</v>
      </c>
      <c r="I74" s="101" t="str">
        <f>"&lt;tr data-section="""&amp;A73&amp;B73&amp;C73&amp;"""&gt;&lt;td&gt;"&amp;D73&amp;"&lt;/td&gt;&lt;td&gt;"&amp;G73&amp;"%&lt;/td&gt;&lt;td&gt;${percent("&amp;H73&amp;", "&amp;G73&amp;")}kg&lt;/td&gt;&lt;/tr&gt;"</f>
        <v>&lt;tr data-section="143"&gt;&lt;td&gt;Push Press&lt;/td&gt;&lt;td&gt;%&lt;/td&gt;&lt;td&gt;${percent(, )}kg&lt;/td&gt;&lt;/tr&gt;</v>
      </c>
      <c r="L74" s="45"/>
      <c r="O74" s="45"/>
    </row>
    <row r="75" spans="1:15" ht="15" customHeight="1" x14ac:dyDescent="0.25">
      <c r="A75" s="8">
        <v>2</v>
      </c>
      <c r="B75" s="8">
        <v>1</v>
      </c>
      <c r="C75" s="8">
        <v>1</v>
      </c>
      <c r="D75" s="93" t="s">
        <v>0</v>
      </c>
      <c r="E75" s="8"/>
      <c r="F75" s="71"/>
      <c r="G75" s="8" t="str">
        <f t="shared" ref="G75:G135" si="15">IF(ISNUMBER(E75), E75 * 100, "")</f>
        <v/>
      </c>
      <c r="H75" s="8" t="str" cm="1">
        <f t="array" ref="H75">GetColorMatchValue(F75, $F$3:$F$10)</f>
        <v/>
      </c>
      <c r="I75" s="99" t="str">
        <f>"&lt;tr&gt;&lt;th colspan=""3""&gt;&lt;label&gt;"&amp;D74&amp;"&lt;input type=""checkbox"" class=""section-toggle"" data-section="""&amp;A74&amp;B74&amp;C74&amp;"""/&gt;&lt;/label&gt;&lt;/th&gt;&lt;/tr&gt;"</f>
        <v>&lt;tr&gt;&lt;th colspan="3"&gt;&lt;label&gt;4 Sets of 4 Reps&lt;input type="checkbox" class="section-toggle" data-section="143"/&gt;&lt;/label&gt;&lt;/th&gt;&lt;/tr&gt;</v>
      </c>
    </row>
    <row r="76" spans="1:15" ht="15" customHeight="1" x14ac:dyDescent="0.25">
      <c r="A76" s="8">
        <v>2</v>
      </c>
      <c r="B76" s="8">
        <v>1</v>
      </c>
      <c r="C76" s="8">
        <v>1</v>
      </c>
      <c r="D76" s="94" t="s">
        <v>228</v>
      </c>
      <c r="E76" s="7">
        <v>0.6</v>
      </c>
      <c r="F76" s="72">
        <f>$E$3*E76</f>
        <v>120</v>
      </c>
      <c r="G76" s="8">
        <f t="shared" si="15"/>
        <v>60</v>
      </c>
      <c r="H76" s="8" t="str" cm="1">
        <f t="array" ref="H76">GetColorMatchValue(F76, $F$3:$F$10)</f>
        <v>bs</v>
      </c>
      <c r="I76" s="101" t="str">
        <f t="shared" ref="I76:I78" si="16">"&lt;tr data-section="""&amp;A75&amp;B75&amp;C75&amp;"""&gt;&lt;td&gt;"&amp;D75&amp;"&lt;/td&gt;&lt;td&gt;"&amp;G75&amp;"%&lt;/td&gt;&lt;td&gt;${percent("&amp;H75&amp;", "&amp;G75&amp;")}kg&lt;/td&gt;&lt;/tr&gt;"</f>
        <v>&lt;tr data-section="211"&gt;&lt;td&gt;Back Squat&lt;/td&gt;&lt;td&gt;%&lt;/td&gt;&lt;td&gt;${percent(, )}kg&lt;/td&gt;&lt;/tr&gt;</v>
      </c>
    </row>
    <row r="77" spans="1:15" ht="15" customHeight="1" x14ac:dyDescent="0.25">
      <c r="A77" s="8">
        <v>2</v>
      </c>
      <c r="B77" s="8">
        <v>1</v>
      </c>
      <c r="C77" s="8">
        <v>1</v>
      </c>
      <c r="D77" s="94" t="s">
        <v>228</v>
      </c>
      <c r="E77" s="7">
        <v>0.7</v>
      </c>
      <c r="F77" s="72">
        <f>$E$3*E77</f>
        <v>140</v>
      </c>
      <c r="G77" s="8">
        <f t="shared" si="15"/>
        <v>70</v>
      </c>
      <c r="H77" s="8" t="str" cm="1">
        <f t="array" ref="H77">GetColorMatchValue(F77, $F$3:$F$10)</f>
        <v>bs</v>
      </c>
      <c r="I77" s="101" t="str">
        <f t="shared" si="16"/>
        <v>&lt;tr data-section="211"&gt;&lt;td&gt;1 Set of 5 Reps&lt;/td&gt;&lt;td&gt;60%&lt;/td&gt;&lt;td&gt;${percent(bs, 60)}kg&lt;/td&gt;&lt;/tr&gt;</v>
      </c>
    </row>
    <row r="78" spans="1:15" ht="15" customHeight="1" x14ac:dyDescent="0.25">
      <c r="A78" s="8">
        <v>2</v>
      </c>
      <c r="B78" s="8">
        <v>1</v>
      </c>
      <c r="C78" s="8">
        <v>1</v>
      </c>
      <c r="D78" s="94" t="s">
        <v>202</v>
      </c>
      <c r="E78" s="7">
        <v>0.8</v>
      </c>
      <c r="F78" s="72">
        <f>$E$3*E78</f>
        <v>160</v>
      </c>
      <c r="G78" s="8">
        <f t="shared" si="15"/>
        <v>80</v>
      </c>
      <c r="H78" s="8" t="str" cm="1">
        <f t="array" ref="H78">GetColorMatchValue(F78, $F$3:$F$10)</f>
        <v>bs</v>
      </c>
      <c r="I78" s="101" t="str">
        <f t="shared" si="16"/>
        <v>&lt;tr data-section="211"&gt;&lt;td&gt;1 Set of 5 Reps&lt;/td&gt;&lt;td&gt;70%&lt;/td&gt;&lt;td&gt;${percent(bs, 70)}kg&lt;/td&gt;&lt;/tr&gt;</v>
      </c>
    </row>
    <row r="79" spans="1:15" ht="15" customHeight="1" x14ac:dyDescent="0.25">
      <c r="A79" s="8">
        <v>2</v>
      </c>
      <c r="B79" s="8">
        <v>1</v>
      </c>
      <c r="C79" s="8">
        <v>1</v>
      </c>
      <c r="D79" s="94"/>
      <c r="E79" s="8"/>
      <c r="F79" s="71"/>
      <c r="G79" s="8" t="str">
        <f t="shared" si="15"/>
        <v/>
      </c>
      <c r="H79" s="8" t="str" cm="1">
        <f t="array" ref="H79">GetColorMatchValue(F79, $F$3:$F$10)</f>
        <v/>
      </c>
      <c r="I79" s="96" t="s">
        <v>287</v>
      </c>
    </row>
    <row r="80" spans="1:15" ht="15" customHeight="1" x14ac:dyDescent="0.25">
      <c r="A80" s="8">
        <v>2</v>
      </c>
      <c r="B80" s="8">
        <v>1</v>
      </c>
      <c r="C80" s="8">
        <v>2</v>
      </c>
      <c r="D80" s="93" t="s">
        <v>24</v>
      </c>
      <c r="E80" s="8"/>
      <c r="F80" s="71"/>
      <c r="G80" s="8" t="str">
        <f t="shared" si="15"/>
        <v/>
      </c>
      <c r="H80" s="8" t="str" cm="1">
        <f t="array" ref="H80">GetColorMatchValue(F80, $F$3:$F$10)</f>
        <v/>
      </c>
      <c r="I80" s="99" t="str">
        <f>"&lt;tr&gt;&lt;th colspan=""3""&gt;&lt;label&gt;"&amp;D79&amp;"&lt;input type=""checkbox"" class=""section-toggle"" data-section="""&amp;A79&amp;B79&amp;C79&amp;"""/&gt;&lt;/label&gt;&lt;/th&gt;&lt;/tr&gt;"</f>
        <v>&lt;tr&gt;&lt;th colspan="3"&gt;&lt;label&gt;&lt;input type="checkbox" class="section-toggle" data-section="211"/&gt;&lt;/label&gt;&lt;/th&gt;&lt;/tr&gt;</v>
      </c>
    </row>
    <row r="81" spans="1:9" ht="15" customHeight="1" x14ac:dyDescent="0.25">
      <c r="A81" s="8">
        <v>2</v>
      </c>
      <c r="B81" s="8">
        <v>1</v>
      </c>
      <c r="C81" s="8">
        <v>2</v>
      </c>
      <c r="D81" s="94" t="s">
        <v>220</v>
      </c>
      <c r="E81" s="7">
        <v>0.6</v>
      </c>
      <c r="F81" s="73">
        <f t="shared" ref="F81:F83" si="17">$E$7*E81</f>
        <v>57</v>
      </c>
      <c r="G81" s="8">
        <f t="shared" si="15"/>
        <v>60</v>
      </c>
      <c r="H81" s="8" t="str" cm="1">
        <f t="array" ref="H81">GetColorMatchValue(F81, $F$3:$F$10)</f>
        <v>s</v>
      </c>
      <c r="I81" s="101" t="str">
        <f t="shared" ref="I81:I83" si="18">"&lt;tr data-section="""&amp;A80&amp;B80&amp;C80&amp;"""&gt;&lt;td&gt;"&amp;D80&amp;"&lt;/td&gt;&lt;td&gt;"&amp;G80&amp;"%&lt;/td&gt;&lt;td&gt;${percent("&amp;H80&amp;", "&amp;G80&amp;")}kg&lt;/td&gt;&lt;/tr&gt;"</f>
        <v>&lt;tr data-section="212"&gt;&lt;td&gt;Hang Snatch&lt;/td&gt;&lt;td&gt;%&lt;/td&gt;&lt;td&gt;${percent(, )}kg&lt;/td&gt;&lt;/tr&gt;</v>
      </c>
    </row>
    <row r="82" spans="1:9" ht="15" customHeight="1" x14ac:dyDescent="0.25">
      <c r="A82" s="8">
        <v>2</v>
      </c>
      <c r="B82" s="8">
        <v>1</v>
      </c>
      <c r="C82" s="8">
        <v>2</v>
      </c>
      <c r="D82" s="94" t="s">
        <v>220</v>
      </c>
      <c r="E82" s="7">
        <v>0.7</v>
      </c>
      <c r="F82" s="73">
        <f t="shared" si="17"/>
        <v>66.5</v>
      </c>
      <c r="G82" s="8">
        <f t="shared" si="15"/>
        <v>70</v>
      </c>
      <c r="H82" s="8" t="str" cm="1">
        <f t="array" ref="H82">GetColorMatchValue(F82, $F$3:$F$10)</f>
        <v>s</v>
      </c>
      <c r="I82" s="101" t="str">
        <f t="shared" si="18"/>
        <v>&lt;tr data-section="212"&gt;&lt;td&gt;1 Set of 4 Reps&lt;/td&gt;&lt;td&gt;60%&lt;/td&gt;&lt;td&gt;${percent(s, 60)}kg&lt;/td&gt;&lt;/tr&gt;</v>
      </c>
    </row>
    <row r="83" spans="1:9" ht="15" customHeight="1" x14ac:dyDescent="0.25">
      <c r="A83" s="8">
        <v>2</v>
      </c>
      <c r="B83" s="8">
        <v>1</v>
      </c>
      <c r="C83" s="8">
        <v>2</v>
      </c>
      <c r="D83" s="94" t="s">
        <v>234</v>
      </c>
      <c r="E83" s="7">
        <v>0.8</v>
      </c>
      <c r="F83" s="73">
        <f t="shared" si="17"/>
        <v>76</v>
      </c>
      <c r="G83" s="8">
        <f t="shared" si="15"/>
        <v>80</v>
      </c>
      <c r="H83" s="8" t="str" cm="1">
        <f t="array" ref="H83">GetColorMatchValue(F83, $F$3:$F$10)</f>
        <v>s</v>
      </c>
      <c r="I83" s="101" t="str">
        <f t="shared" si="18"/>
        <v>&lt;tr data-section="212"&gt;&lt;td&gt;1 Set of 4 Reps&lt;/td&gt;&lt;td&gt;70%&lt;/td&gt;&lt;td&gt;${percent(s, 70)}kg&lt;/td&gt;&lt;/tr&gt;</v>
      </c>
    </row>
    <row r="84" spans="1:9" ht="15" customHeight="1" x14ac:dyDescent="0.25">
      <c r="A84" s="8">
        <v>2</v>
      </c>
      <c r="B84" s="8">
        <v>1</v>
      </c>
      <c r="C84" s="8">
        <v>2</v>
      </c>
      <c r="D84" s="94"/>
      <c r="E84" s="8"/>
      <c r="F84" s="71"/>
      <c r="G84" s="8" t="str">
        <f t="shared" si="15"/>
        <v/>
      </c>
      <c r="H84" s="8" t="str" cm="1">
        <f t="array" ref="H84">GetColorMatchValue(F84, $F$3:$F$10)</f>
        <v/>
      </c>
      <c r="I84" s="96" t="s">
        <v>287</v>
      </c>
    </row>
    <row r="85" spans="1:9" ht="15" customHeight="1" x14ac:dyDescent="0.25">
      <c r="A85" s="8">
        <v>2</v>
      </c>
      <c r="B85" s="8">
        <v>1</v>
      </c>
      <c r="C85" s="8">
        <v>3</v>
      </c>
      <c r="D85" s="93" t="s">
        <v>25</v>
      </c>
      <c r="E85" s="8"/>
      <c r="F85" s="71"/>
      <c r="G85" s="8" t="str">
        <f t="shared" si="15"/>
        <v/>
      </c>
      <c r="H85" s="8" t="str" cm="1">
        <f t="array" ref="H85">GetColorMatchValue(F85, $F$3:$F$10)</f>
        <v/>
      </c>
      <c r="I85" s="99" t="str">
        <f>"&lt;tr&gt;&lt;th colspan=""3""&gt;&lt;label&gt;"&amp;D84&amp;"&lt;input type=""checkbox"" class=""section-toggle"" data-section="""&amp;A84&amp;B84&amp;C84&amp;"""/&gt;&lt;/label&gt;&lt;/th&gt;&lt;/tr&gt;"</f>
        <v>&lt;tr&gt;&lt;th colspan="3"&gt;&lt;label&gt;&lt;input type="checkbox" class="section-toggle" data-section="212"/&gt;&lt;/label&gt;&lt;/th&gt;&lt;/tr&gt;</v>
      </c>
    </row>
    <row r="86" spans="1:9" ht="15" customHeight="1" x14ac:dyDescent="0.25">
      <c r="A86" s="8">
        <v>2</v>
      </c>
      <c r="B86" s="8">
        <v>1</v>
      </c>
      <c r="C86" s="8">
        <v>3</v>
      </c>
      <c r="D86" s="94" t="s">
        <v>246</v>
      </c>
      <c r="E86" s="7">
        <v>0.6</v>
      </c>
      <c r="F86" s="77">
        <f t="shared" ref="F86:F89" si="19">$E$8*E86</f>
        <v>69</v>
      </c>
      <c r="G86" s="8">
        <f t="shared" si="15"/>
        <v>60</v>
      </c>
      <c r="H86" s="8" t="str" cm="1">
        <f t="array" ref="H86">GetColorMatchValue(F86, $F$3:$F$10)</f>
        <v>cj</v>
      </c>
      <c r="I86" s="101" t="str">
        <f t="shared" ref="I86:I89" si="20">"&lt;tr data-section="""&amp;A85&amp;B85&amp;C85&amp;"""&gt;&lt;td&gt;"&amp;D85&amp;"&lt;/td&gt;&lt;td&gt;"&amp;G85&amp;"%&lt;/td&gt;&lt;td&gt;${percent("&amp;H85&amp;", "&amp;G85&amp;")}kg&lt;/td&gt;&lt;/tr&gt;"</f>
        <v>&lt;tr data-section="213"&gt;&lt;td&gt;Hang Clean + Jerk&lt;/td&gt;&lt;td&gt;%&lt;/td&gt;&lt;td&gt;${percent(, )}kg&lt;/td&gt;&lt;/tr&gt;</v>
      </c>
    </row>
    <row r="87" spans="1:9" ht="15" customHeight="1" x14ac:dyDescent="0.25">
      <c r="A87" s="8">
        <v>2</v>
      </c>
      <c r="B87" s="8">
        <v>1</v>
      </c>
      <c r="C87" s="8">
        <v>3</v>
      </c>
      <c r="D87" s="94" t="s">
        <v>246</v>
      </c>
      <c r="E87" s="7">
        <v>0.7</v>
      </c>
      <c r="F87" s="77">
        <f t="shared" si="19"/>
        <v>80.5</v>
      </c>
      <c r="G87" s="8">
        <f t="shared" si="15"/>
        <v>70</v>
      </c>
      <c r="H87" s="8" t="str" cm="1">
        <f t="array" ref="H87">GetColorMatchValue(F87, $F$3:$F$10)</f>
        <v>cj</v>
      </c>
      <c r="I87" s="101" t="str">
        <f t="shared" si="20"/>
        <v>&lt;tr data-section="213"&gt;&lt;td&gt;1 Set of 4 Hg.Cl. + 1 Jr.&lt;/td&gt;&lt;td&gt;60%&lt;/td&gt;&lt;td&gt;${percent(cj, 60)}kg&lt;/td&gt;&lt;/tr&gt;</v>
      </c>
    </row>
    <row r="88" spans="1:9" ht="15" customHeight="1" x14ac:dyDescent="0.25">
      <c r="A88" s="8">
        <v>2</v>
      </c>
      <c r="B88" s="8">
        <v>1</v>
      </c>
      <c r="C88" s="8">
        <v>3</v>
      </c>
      <c r="D88" s="94" t="s">
        <v>247</v>
      </c>
      <c r="E88" s="7">
        <v>0.8</v>
      </c>
      <c r="F88" s="77">
        <f t="shared" si="19"/>
        <v>92</v>
      </c>
      <c r="G88" s="8">
        <f t="shared" si="15"/>
        <v>80</v>
      </c>
      <c r="H88" s="8" t="str" cm="1">
        <f t="array" ref="H88">GetColorMatchValue(F88, $F$3:$F$10)</f>
        <v>cj</v>
      </c>
      <c r="I88" s="101" t="str">
        <f t="shared" si="20"/>
        <v>&lt;tr data-section="213"&gt;&lt;td&gt;1 Set of 4 Hg.Cl. + 1 Jr.&lt;/td&gt;&lt;td&gt;70%&lt;/td&gt;&lt;td&gt;${percent(cj, 70)}kg&lt;/td&gt;&lt;/tr&gt;</v>
      </c>
    </row>
    <row r="89" spans="1:9" ht="15" customHeight="1" x14ac:dyDescent="0.25">
      <c r="A89" s="8">
        <v>2</v>
      </c>
      <c r="B89" s="8">
        <v>1</v>
      </c>
      <c r="C89" s="8">
        <v>3</v>
      </c>
      <c r="D89" s="94" t="s">
        <v>248</v>
      </c>
      <c r="E89" s="7">
        <v>0.75</v>
      </c>
      <c r="F89" s="77">
        <f t="shared" si="19"/>
        <v>86.25</v>
      </c>
      <c r="G89" s="8">
        <f t="shared" si="15"/>
        <v>75</v>
      </c>
      <c r="H89" s="8" t="str" cm="1">
        <f t="array" ref="H89">GetColorMatchValue(F89, $F$3:$F$10)</f>
        <v>cj</v>
      </c>
      <c r="I89" s="101" t="str">
        <f t="shared" si="20"/>
        <v>&lt;tr data-section="213"&gt;&lt;td&gt;1 Set of 3 Hg.Cl. + 1 Jr.&lt;/td&gt;&lt;td&gt;80%&lt;/td&gt;&lt;td&gt;${percent(cj, 80)}kg&lt;/td&gt;&lt;/tr&gt;</v>
      </c>
    </row>
    <row r="90" spans="1:9" ht="15" customHeight="1" x14ac:dyDescent="0.25">
      <c r="A90" s="8">
        <v>2</v>
      </c>
      <c r="B90" s="8">
        <v>1</v>
      </c>
      <c r="C90" s="8">
        <v>3</v>
      </c>
      <c r="D90" s="94"/>
      <c r="E90" s="8"/>
      <c r="F90" s="71"/>
      <c r="G90" s="8" t="str">
        <f t="shared" si="15"/>
        <v/>
      </c>
      <c r="H90" s="8" t="str" cm="1">
        <f t="array" ref="H90">GetColorMatchValue(F90, $F$3:$F$10)</f>
        <v/>
      </c>
      <c r="I90" s="96" t="s">
        <v>287</v>
      </c>
    </row>
    <row r="91" spans="1:9" ht="15" customHeight="1" x14ac:dyDescent="0.25">
      <c r="A91" s="8">
        <v>2</v>
      </c>
      <c r="B91" s="8">
        <v>1</v>
      </c>
      <c r="C91" s="8">
        <v>4</v>
      </c>
      <c r="D91" s="93" t="s">
        <v>26</v>
      </c>
      <c r="E91" s="8"/>
      <c r="F91" s="71"/>
      <c r="G91" s="8" t="str">
        <f t="shared" si="15"/>
        <v/>
      </c>
      <c r="H91" s="8" t="str" cm="1">
        <f t="array" ref="H91">GetColorMatchValue(F91, $F$3:$F$10)</f>
        <v/>
      </c>
      <c r="I91" s="99" t="str">
        <f>"&lt;tr&gt;&lt;th colspan=""3""&gt;&lt;label&gt;"&amp;D90&amp;"&lt;input type=""checkbox"" class=""section-toggle"" data-section="""&amp;A90&amp;B90&amp;C90&amp;"""/&gt;&lt;/label&gt;&lt;/th&gt;&lt;/tr&gt;"</f>
        <v>&lt;tr&gt;&lt;th colspan="3"&gt;&lt;label&gt;&lt;input type="checkbox" class="section-toggle" data-section="213"/&gt;&lt;/label&gt;&lt;/th&gt;&lt;/tr&gt;</v>
      </c>
    </row>
    <row r="92" spans="1:9" ht="15" customHeight="1" x14ac:dyDescent="0.25">
      <c r="A92" s="8">
        <v>2</v>
      </c>
      <c r="B92" s="8">
        <v>1</v>
      </c>
      <c r="C92" s="8">
        <v>4</v>
      </c>
      <c r="D92" s="94" t="s">
        <v>220</v>
      </c>
      <c r="E92" s="7">
        <v>0.6</v>
      </c>
      <c r="F92" s="76">
        <f t="shared" ref="F92:F96" si="21">$E$10*E92</f>
        <v>48</v>
      </c>
      <c r="G92" s="8">
        <f t="shared" si="15"/>
        <v>60</v>
      </c>
      <c r="H92" s="8" t="str" cm="1">
        <f t="array" ref="H92">GetColorMatchValue(F92, $F$3:$F$10)</f>
        <v>pp</v>
      </c>
      <c r="I92" s="101" t="str">
        <f t="shared" ref="I92:I96" si="22">"&lt;tr data-section="""&amp;A91&amp;B91&amp;C91&amp;"""&gt;&lt;td&gt;"&amp;D91&amp;"&lt;/td&gt;&lt;td&gt;"&amp;G91&amp;"%&lt;/td&gt;&lt;td&gt;${percent("&amp;H91&amp;", "&amp;G91&amp;")}kg&lt;/td&gt;&lt;/tr&gt;"</f>
        <v>&lt;tr data-section="214"&gt;&lt;td&gt;Behind the Neck Push Press&lt;/td&gt;&lt;td&gt;%&lt;/td&gt;&lt;td&gt;${percent(, )}kg&lt;/td&gt;&lt;/tr&gt;</v>
      </c>
    </row>
    <row r="93" spans="1:9" ht="15" customHeight="1" x14ac:dyDescent="0.25">
      <c r="A93" s="8">
        <v>2</v>
      </c>
      <c r="B93" s="8">
        <v>1</v>
      </c>
      <c r="C93" s="8">
        <v>4</v>
      </c>
      <c r="D93" s="94" t="s">
        <v>220</v>
      </c>
      <c r="E93" s="7">
        <v>0.7</v>
      </c>
      <c r="F93" s="76">
        <f t="shared" si="21"/>
        <v>56</v>
      </c>
      <c r="G93" s="8">
        <f t="shared" si="15"/>
        <v>70</v>
      </c>
      <c r="H93" s="8" t="str" cm="1">
        <f t="array" ref="H93">GetColorMatchValue(F93, $F$3:$F$10)</f>
        <v>pp</v>
      </c>
      <c r="I93" s="101" t="str">
        <f t="shared" si="22"/>
        <v>&lt;tr data-section="214"&gt;&lt;td&gt;1 Set of 4 Reps&lt;/td&gt;&lt;td&gt;60%&lt;/td&gt;&lt;td&gt;${percent(pp, 60)}kg&lt;/td&gt;&lt;/tr&gt;</v>
      </c>
    </row>
    <row r="94" spans="1:9" ht="15" customHeight="1" x14ac:dyDescent="0.25">
      <c r="A94" s="8">
        <v>2</v>
      </c>
      <c r="B94" s="8">
        <v>1</v>
      </c>
      <c r="C94" s="8">
        <v>4</v>
      </c>
      <c r="D94" s="94" t="s">
        <v>212</v>
      </c>
      <c r="E94" s="7">
        <v>0.75</v>
      </c>
      <c r="F94" s="76">
        <f t="shared" si="21"/>
        <v>60</v>
      </c>
      <c r="G94" s="8">
        <f t="shared" si="15"/>
        <v>75</v>
      </c>
      <c r="H94" s="8" t="str" cm="1">
        <f t="array" ref="H94">GetColorMatchValue(F94, $F$3:$F$10)</f>
        <v>pp</v>
      </c>
      <c r="I94" s="101" t="str">
        <f t="shared" si="22"/>
        <v>&lt;tr data-section="214"&gt;&lt;td&gt;1 Set of 4 Reps&lt;/td&gt;&lt;td&gt;70%&lt;/td&gt;&lt;td&gt;${percent(pp, 70)}kg&lt;/td&gt;&lt;/tr&gt;</v>
      </c>
    </row>
    <row r="95" spans="1:9" ht="15" customHeight="1" x14ac:dyDescent="0.25">
      <c r="A95" s="8">
        <v>2</v>
      </c>
      <c r="B95" s="8">
        <v>1</v>
      </c>
      <c r="C95" s="8">
        <v>4</v>
      </c>
      <c r="D95" s="94" t="s">
        <v>220</v>
      </c>
      <c r="E95" s="7">
        <v>0.6</v>
      </c>
      <c r="F95" s="76">
        <f t="shared" si="21"/>
        <v>48</v>
      </c>
      <c r="G95" s="8">
        <f t="shared" si="15"/>
        <v>60</v>
      </c>
      <c r="H95" s="8" t="str" cm="1">
        <f t="array" ref="H95">GetColorMatchValue(F95, $F$3:$F$10)</f>
        <v>pp</v>
      </c>
      <c r="I95" s="101" t="str">
        <f t="shared" si="22"/>
        <v>&lt;tr data-section="214"&gt;&lt;td&gt;1 Set of 1 Rep&lt;/td&gt;&lt;td&gt;75%&lt;/td&gt;&lt;td&gt;${percent(pp, 75)}kg&lt;/td&gt;&lt;/tr&gt;</v>
      </c>
    </row>
    <row r="96" spans="1:9" ht="15" customHeight="1" x14ac:dyDescent="0.25">
      <c r="A96" s="8">
        <v>2</v>
      </c>
      <c r="B96" s="8">
        <v>1</v>
      </c>
      <c r="C96" s="8">
        <v>4</v>
      </c>
      <c r="D96" s="94" t="s">
        <v>235</v>
      </c>
      <c r="E96" s="7">
        <v>0.7</v>
      </c>
      <c r="F96" s="76">
        <f t="shared" si="21"/>
        <v>56</v>
      </c>
      <c r="G96" s="8">
        <f t="shared" si="15"/>
        <v>70</v>
      </c>
      <c r="H96" s="8" t="str" cm="1">
        <f t="array" ref="H96">GetColorMatchValue(F96, $F$3:$F$10)</f>
        <v>pp</v>
      </c>
      <c r="I96" s="101" t="str">
        <f t="shared" si="22"/>
        <v>&lt;tr data-section="214"&gt;&lt;td&gt;1 Set of 4 Reps&lt;/td&gt;&lt;td&gt;60%&lt;/td&gt;&lt;td&gt;${percent(pp, 60)}kg&lt;/td&gt;&lt;/tr&gt;</v>
      </c>
    </row>
    <row r="97" spans="1:15" ht="15" customHeight="1" x14ac:dyDescent="0.25">
      <c r="A97" s="8">
        <v>2</v>
      </c>
      <c r="B97" s="8">
        <v>1</v>
      </c>
      <c r="C97" s="8">
        <v>4</v>
      </c>
      <c r="D97" s="94"/>
      <c r="E97" s="8"/>
      <c r="F97" s="71"/>
      <c r="G97" s="8" t="str">
        <f t="shared" si="15"/>
        <v/>
      </c>
      <c r="H97" s="8" t="str" cm="1">
        <f t="array" ref="H97">GetColorMatchValue(F97, $F$3:$F$10)</f>
        <v/>
      </c>
      <c r="I97" s="96" t="s">
        <v>287</v>
      </c>
    </row>
    <row r="98" spans="1:15" ht="15" customHeight="1" x14ac:dyDescent="0.25">
      <c r="A98" s="8">
        <v>2</v>
      </c>
      <c r="B98" s="8">
        <v>1</v>
      </c>
      <c r="C98" s="8">
        <v>5</v>
      </c>
      <c r="D98" s="93" t="s">
        <v>83</v>
      </c>
      <c r="E98" s="8"/>
      <c r="F98" s="71"/>
      <c r="G98" s="8" t="str">
        <f t="shared" si="15"/>
        <v/>
      </c>
      <c r="H98" s="8" t="str" cm="1">
        <f t="array" ref="H98">GetColorMatchValue(F98, $F$3:$F$10)</f>
        <v/>
      </c>
      <c r="I98" s="99" t="str">
        <f>"&lt;tr&gt;&lt;th colspan=""3""&gt;&lt;label&gt;"&amp;D97&amp;"&lt;input type=""checkbox"" class=""section-toggle"" data-section="""&amp;A97&amp;B97&amp;C97&amp;"""/&gt;&lt;/label&gt;&lt;/th&gt;&lt;/tr&gt;"</f>
        <v>&lt;tr&gt;&lt;th colspan="3"&gt;&lt;label&gt;&lt;input type="checkbox" class="section-toggle" data-section="214"/&gt;&lt;/label&gt;&lt;/th&gt;&lt;/tr&gt;</v>
      </c>
    </row>
    <row r="99" spans="1:15" ht="15" customHeight="1" x14ac:dyDescent="0.25">
      <c r="A99" s="8">
        <v>2</v>
      </c>
      <c r="B99" s="8">
        <v>1</v>
      </c>
      <c r="C99" s="8">
        <v>5</v>
      </c>
      <c r="D99" s="94" t="s">
        <v>198</v>
      </c>
      <c r="E99" s="7">
        <v>0.8</v>
      </c>
      <c r="F99" s="73">
        <f>$E$7*E99</f>
        <v>76</v>
      </c>
      <c r="G99" s="8">
        <f t="shared" si="15"/>
        <v>80</v>
      </c>
      <c r="H99" s="8" t="str" cm="1">
        <f t="array" ref="H99">GetColorMatchValue(F99, $F$3:$F$10)</f>
        <v>s</v>
      </c>
      <c r="I99" s="101" t="str">
        <f>"&lt;tr data-section="""&amp;A98&amp;B98&amp;C98&amp;"""&gt;&lt;td&gt;"&amp;D98&amp;"&lt;/td&gt;&lt;td&gt;"&amp;G98&amp;"%&lt;/td&gt;&lt;td&gt;${percent("&amp;H98&amp;", "&amp;G98&amp;")}kg&lt;/td&gt;&lt;/tr&gt;"</f>
        <v>&lt;tr data-section="215"&gt;&lt;td&gt;Snatch Pulls &lt;/td&gt;&lt;td&gt;%&lt;/td&gt;&lt;td&gt;${percent(, )}kg&lt;/td&gt;&lt;/tr&gt;</v>
      </c>
    </row>
    <row r="100" spans="1:15" ht="15" customHeight="1" x14ac:dyDescent="0.25">
      <c r="A100" s="8">
        <v>2</v>
      </c>
      <c r="B100" s="8">
        <v>1</v>
      </c>
      <c r="C100" s="8">
        <v>5</v>
      </c>
      <c r="D100" s="94"/>
      <c r="E100" s="8"/>
      <c r="F100" s="71"/>
      <c r="G100" s="8" t="str">
        <f t="shared" si="15"/>
        <v/>
      </c>
      <c r="H100" s="8" t="str" cm="1">
        <f t="array" ref="H100">GetColorMatchValue(F100, $F$3:$F$10)</f>
        <v/>
      </c>
      <c r="I100" s="96" t="s">
        <v>287</v>
      </c>
    </row>
    <row r="101" spans="1:15" ht="15" customHeight="1" x14ac:dyDescent="0.25">
      <c r="A101" s="8">
        <v>2</v>
      </c>
      <c r="B101" s="8">
        <v>1</v>
      </c>
      <c r="C101" s="8">
        <v>6</v>
      </c>
      <c r="D101" s="93" t="s">
        <v>27</v>
      </c>
      <c r="E101" s="8"/>
      <c r="F101" s="71"/>
      <c r="G101" s="8" t="str">
        <f t="shared" si="15"/>
        <v/>
      </c>
      <c r="H101" s="8" t="str" cm="1">
        <f t="array" ref="H101">GetColorMatchValue(F101, $F$3:$F$10)</f>
        <v/>
      </c>
      <c r="I101" s="99" t="str">
        <f>"&lt;tr&gt;&lt;th colspan=""3""&gt;&lt;label&gt;"&amp;D100&amp;"&lt;input type=""checkbox"" class=""section-toggle"" data-section="""&amp;A100&amp;B100&amp;C100&amp;"""/&gt;&lt;/label&gt;&lt;/th&gt;&lt;/tr&gt;"</f>
        <v>&lt;tr&gt;&lt;th colspan="3"&gt;&lt;label&gt;&lt;input type="checkbox" class="section-toggle" data-section="215"/&gt;&lt;/label&gt;&lt;/th&gt;&lt;/tr&gt;</v>
      </c>
    </row>
    <row r="102" spans="1:15" ht="15" customHeight="1" x14ac:dyDescent="0.25">
      <c r="A102" s="95">
        <v>2</v>
      </c>
      <c r="B102" s="95">
        <v>1</v>
      </c>
      <c r="C102" s="8">
        <v>6</v>
      </c>
      <c r="D102" s="94" t="s">
        <v>193</v>
      </c>
      <c r="E102" s="8" t="s">
        <v>194</v>
      </c>
      <c r="F102" s="71"/>
      <c r="G102" s="8" t="str">
        <f t="shared" si="15"/>
        <v/>
      </c>
      <c r="H102" s="8" t="str" cm="1">
        <f t="array" ref="H102">GetColorMatchValue(F102, $F$3:$F$10)</f>
        <v/>
      </c>
      <c r="I102" s="104" t="str">
        <f>"&lt;tr data-section="""&amp;A101&amp;B101&amp;C101&amp;"""&gt;&lt;td colspan=""3""&gt;"&amp;D101&amp;" "&amp;E101&amp;"&lt;/td&gt;&lt;/tr&gt;"</f>
        <v>&lt;tr data-section="216"&gt;&lt;td colspan="3"&gt;Abdominals &lt;/td&gt;&lt;/tr&gt;</v>
      </c>
    </row>
    <row r="103" spans="1:15" ht="15" customHeight="1" x14ac:dyDescent="0.25">
      <c r="A103" s="8">
        <v>2</v>
      </c>
      <c r="B103" s="8">
        <v>2</v>
      </c>
      <c r="C103" s="8">
        <v>1</v>
      </c>
      <c r="D103" s="93" t="s">
        <v>0</v>
      </c>
      <c r="E103" s="8"/>
      <c r="F103" s="71"/>
      <c r="G103" s="8" t="str">
        <f t="shared" si="15"/>
        <v/>
      </c>
      <c r="H103" s="8" t="str" cm="1">
        <f t="array" ref="H103">GetColorMatchValue(F103, $F$3:$F$10)</f>
        <v/>
      </c>
      <c r="I103" s="99" t="str">
        <f>"&lt;tr&gt;&lt;th colspan=""3""&gt;&lt;label&gt;"&amp;D102&amp;"&lt;input type=""checkbox"" class=""section-toggle"" data-section="""&amp;A102&amp;B102&amp;C102&amp;"""/&gt;&lt;/label&gt;&lt;/th&gt;&lt;/tr&gt;"</f>
        <v>&lt;tr&gt;&lt;th colspan="3"&gt;&lt;label&gt;3 Sets of 20 Reps&lt;input type="checkbox" class="section-toggle" data-section="216"/&gt;&lt;/label&gt;&lt;/th&gt;&lt;/tr&gt;</v>
      </c>
      <c r="O103" s="45"/>
    </row>
    <row r="104" spans="1:15" ht="15" customHeight="1" x14ac:dyDescent="0.25">
      <c r="A104" s="8">
        <v>2</v>
      </c>
      <c r="B104" s="8">
        <v>2</v>
      </c>
      <c r="C104" s="8">
        <v>1</v>
      </c>
      <c r="D104" s="94" t="s">
        <v>220</v>
      </c>
      <c r="E104" s="7">
        <v>0.6</v>
      </c>
      <c r="F104" s="72">
        <f>$E$3*E104</f>
        <v>120</v>
      </c>
      <c r="G104" s="8">
        <f t="shared" si="15"/>
        <v>60</v>
      </c>
      <c r="H104" s="8" t="str" cm="1">
        <f t="array" ref="H104">GetColorMatchValue(F104, $F$3:$F$10)</f>
        <v>bs</v>
      </c>
      <c r="I104" s="101" t="str">
        <f t="shared" ref="I104:I106" si="23">"&lt;tr data-section="""&amp;A103&amp;B103&amp;C103&amp;"""&gt;&lt;td&gt;"&amp;D103&amp;"&lt;/td&gt;&lt;td&gt;"&amp;G103&amp;"%&lt;/td&gt;&lt;td&gt;${percent("&amp;H103&amp;", "&amp;G103&amp;")}kg&lt;/td&gt;&lt;/tr&gt;"</f>
        <v>&lt;tr data-section="221"&gt;&lt;td&gt;Back Squat&lt;/td&gt;&lt;td&gt;%&lt;/td&gt;&lt;td&gt;${percent(, )}kg&lt;/td&gt;&lt;/tr&gt;</v>
      </c>
      <c r="O104" s="45"/>
    </row>
    <row r="105" spans="1:15" ht="15" customHeight="1" x14ac:dyDescent="0.25">
      <c r="A105" s="8">
        <v>2</v>
      </c>
      <c r="B105" s="8">
        <v>2</v>
      </c>
      <c r="C105" s="8">
        <v>1</v>
      </c>
      <c r="D105" s="94" t="s">
        <v>220</v>
      </c>
      <c r="E105" s="7">
        <v>0.7</v>
      </c>
      <c r="F105" s="72">
        <f t="shared" ref="F105:F106" si="24">$E$3*E105</f>
        <v>140</v>
      </c>
      <c r="G105" s="8">
        <f t="shared" si="15"/>
        <v>70</v>
      </c>
      <c r="H105" s="8" t="str" cm="1">
        <f t="array" ref="H105">GetColorMatchValue(F105, $F$3:$F$10)</f>
        <v>bs</v>
      </c>
      <c r="I105" s="101" t="str">
        <f t="shared" si="23"/>
        <v>&lt;tr data-section="221"&gt;&lt;td&gt;1 Set of 4 Reps&lt;/td&gt;&lt;td&gt;60%&lt;/td&gt;&lt;td&gt;${percent(bs, 60)}kg&lt;/td&gt;&lt;/tr&gt;</v>
      </c>
      <c r="O105" s="45"/>
    </row>
    <row r="106" spans="1:15" ht="15" customHeight="1" x14ac:dyDescent="0.25">
      <c r="A106" s="8">
        <v>2</v>
      </c>
      <c r="B106" s="8">
        <v>2</v>
      </c>
      <c r="C106" s="8">
        <v>1</v>
      </c>
      <c r="D106" s="94" t="s">
        <v>233</v>
      </c>
      <c r="E106" s="7">
        <v>0.8</v>
      </c>
      <c r="F106" s="72">
        <f t="shared" si="24"/>
        <v>160</v>
      </c>
      <c r="G106" s="8">
        <f t="shared" si="15"/>
        <v>80</v>
      </c>
      <c r="H106" s="8" t="str" cm="1">
        <f t="array" ref="H106">GetColorMatchValue(F106, $F$3:$F$10)</f>
        <v>bs</v>
      </c>
      <c r="I106" s="101" t="str">
        <f t="shared" si="23"/>
        <v>&lt;tr data-section="221"&gt;&lt;td&gt;1 Set of 4 Reps&lt;/td&gt;&lt;td&gt;70%&lt;/td&gt;&lt;td&gt;${percent(bs, 70)}kg&lt;/td&gt;&lt;/tr&gt;</v>
      </c>
      <c r="O106" s="45"/>
    </row>
    <row r="107" spans="1:15" ht="15" customHeight="1" x14ac:dyDescent="0.25">
      <c r="A107" s="8">
        <v>2</v>
      </c>
      <c r="B107" s="8">
        <v>2</v>
      </c>
      <c r="C107" s="8">
        <v>1</v>
      </c>
      <c r="D107" s="94"/>
      <c r="E107" s="8"/>
      <c r="F107" s="71"/>
      <c r="G107" s="8" t="str">
        <f t="shared" si="15"/>
        <v/>
      </c>
      <c r="H107" s="8" t="str" cm="1">
        <f t="array" ref="H107">GetColorMatchValue(F107, $F$3:$F$10)</f>
        <v/>
      </c>
      <c r="I107" s="96" t="s">
        <v>287</v>
      </c>
      <c r="O107" s="45"/>
    </row>
    <row r="108" spans="1:15" ht="15" customHeight="1" x14ac:dyDescent="0.25">
      <c r="A108" s="8">
        <v>2</v>
      </c>
      <c r="B108" s="8">
        <v>2</v>
      </c>
      <c r="C108" s="8">
        <v>2</v>
      </c>
      <c r="D108" s="93" t="s">
        <v>1</v>
      </c>
      <c r="E108" s="8"/>
      <c r="F108" s="71"/>
      <c r="G108" s="8" t="str">
        <f t="shared" si="15"/>
        <v/>
      </c>
      <c r="H108" s="8" t="str" cm="1">
        <f t="array" ref="H108">GetColorMatchValue(F108, $F$3:$F$10)</f>
        <v/>
      </c>
      <c r="I108" s="99" t="str">
        <f>"&lt;tr&gt;&lt;th colspan=""3""&gt;&lt;label&gt;"&amp;D107&amp;"&lt;input type=""checkbox"" class=""section-toggle"" data-section="""&amp;A107&amp;B107&amp;C107&amp;"""/&gt;&lt;/label&gt;&lt;/th&gt;&lt;/tr&gt;"</f>
        <v>&lt;tr&gt;&lt;th colspan="3"&gt;&lt;label&gt;&lt;input type="checkbox" class="section-toggle" data-section="221"/&gt;&lt;/label&gt;&lt;/th&gt;&lt;/tr&gt;</v>
      </c>
      <c r="O108" s="45"/>
    </row>
    <row r="109" spans="1:15" ht="15" customHeight="1" x14ac:dyDescent="0.25">
      <c r="A109" s="8">
        <v>2</v>
      </c>
      <c r="B109" s="8">
        <v>2</v>
      </c>
      <c r="C109" s="8">
        <v>2</v>
      </c>
      <c r="D109" s="94" t="s">
        <v>220</v>
      </c>
      <c r="E109" s="7">
        <v>0.6</v>
      </c>
      <c r="F109" s="73">
        <f t="shared" ref="F109:F113" si="25">$E$7*E109</f>
        <v>57</v>
      </c>
      <c r="G109" s="8">
        <f t="shared" si="15"/>
        <v>60</v>
      </c>
      <c r="H109" s="8" t="str" cm="1">
        <f t="array" ref="H109">GetColorMatchValue(F109, $F$3:$F$10)</f>
        <v>s</v>
      </c>
      <c r="I109" s="101" t="str">
        <f t="shared" ref="I109:I113" si="26">"&lt;tr data-section="""&amp;A108&amp;B108&amp;C108&amp;"""&gt;&lt;td&gt;"&amp;D108&amp;"&lt;/td&gt;&lt;td&gt;"&amp;G108&amp;"%&lt;/td&gt;&lt;td&gt;${percent("&amp;H108&amp;", "&amp;G108&amp;")}kg&lt;/td&gt;&lt;/tr&gt;"</f>
        <v>&lt;tr data-section="222"&gt;&lt;td&gt;Power Snatch&lt;/td&gt;&lt;td&gt;%&lt;/td&gt;&lt;td&gt;${percent(, )}kg&lt;/td&gt;&lt;/tr&gt;</v>
      </c>
      <c r="O109" s="45"/>
    </row>
    <row r="110" spans="1:15" ht="15" customHeight="1" x14ac:dyDescent="0.25">
      <c r="A110" s="8">
        <v>2</v>
      </c>
      <c r="B110" s="8">
        <v>2</v>
      </c>
      <c r="C110" s="8">
        <v>2</v>
      </c>
      <c r="D110" s="94" t="s">
        <v>220</v>
      </c>
      <c r="E110" s="7">
        <v>0.7</v>
      </c>
      <c r="F110" s="73">
        <f t="shared" si="25"/>
        <v>66.5</v>
      </c>
      <c r="G110" s="8">
        <f t="shared" si="15"/>
        <v>70</v>
      </c>
      <c r="H110" s="8" t="str" cm="1">
        <f t="array" ref="H110">GetColorMatchValue(F110, $F$3:$F$10)</f>
        <v>s</v>
      </c>
      <c r="I110" s="101" t="str">
        <f t="shared" si="26"/>
        <v>&lt;tr data-section="222"&gt;&lt;td&gt;1 Set of 4 Reps&lt;/td&gt;&lt;td&gt;60%&lt;/td&gt;&lt;td&gt;${percent(s, 60)}kg&lt;/td&gt;&lt;/tr&gt;</v>
      </c>
      <c r="O110" s="45"/>
    </row>
    <row r="111" spans="1:15" ht="15" customHeight="1" x14ac:dyDescent="0.25">
      <c r="A111" s="8">
        <v>2</v>
      </c>
      <c r="B111" s="8">
        <v>2</v>
      </c>
      <c r="C111" s="8">
        <v>2</v>
      </c>
      <c r="D111" s="94" t="s">
        <v>236</v>
      </c>
      <c r="E111" s="7">
        <v>0.75</v>
      </c>
      <c r="F111" s="73">
        <f t="shared" si="25"/>
        <v>71.25</v>
      </c>
      <c r="G111" s="8">
        <f t="shared" si="15"/>
        <v>75</v>
      </c>
      <c r="H111" s="8" t="str" cm="1">
        <f t="array" ref="H111">GetColorMatchValue(F111, $F$3:$F$10)</f>
        <v>s</v>
      </c>
      <c r="I111" s="101" t="str">
        <f t="shared" si="26"/>
        <v>&lt;tr data-section="222"&gt;&lt;td&gt;1 Set of 4 Reps&lt;/td&gt;&lt;td&gt;70%&lt;/td&gt;&lt;td&gt;${percent(s, 70)}kg&lt;/td&gt;&lt;/tr&gt;</v>
      </c>
      <c r="O111" s="45"/>
    </row>
    <row r="112" spans="1:15" ht="15" customHeight="1" x14ac:dyDescent="0.25">
      <c r="A112" s="8">
        <v>2</v>
      </c>
      <c r="B112" s="8">
        <v>2</v>
      </c>
      <c r="C112" s="8">
        <v>2</v>
      </c>
      <c r="D112" s="94" t="s">
        <v>213</v>
      </c>
      <c r="E112" s="7">
        <v>0.65</v>
      </c>
      <c r="F112" s="73">
        <f t="shared" si="25"/>
        <v>61.75</v>
      </c>
      <c r="G112" s="8">
        <f t="shared" si="15"/>
        <v>65</v>
      </c>
      <c r="H112" s="8" t="str" cm="1">
        <f t="array" ref="H112">GetColorMatchValue(F112, $F$3:$F$10)</f>
        <v>s</v>
      </c>
      <c r="I112" s="101" t="str">
        <f t="shared" si="26"/>
        <v>&lt;tr data-section="222"&gt;&lt;td&gt;1 Set of 2 Reps&lt;/td&gt;&lt;td&gt;75%&lt;/td&gt;&lt;td&gt;${percent(s, 75)}kg&lt;/td&gt;&lt;/tr&gt;</v>
      </c>
      <c r="O112" s="45"/>
    </row>
    <row r="113" spans="1:15" ht="15" customHeight="1" x14ac:dyDescent="0.25">
      <c r="A113" s="8">
        <v>2</v>
      </c>
      <c r="B113" s="8">
        <v>2</v>
      </c>
      <c r="C113" s="8">
        <v>2</v>
      </c>
      <c r="D113" s="94" t="s">
        <v>213</v>
      </c>
      <c r="E113" s="7">
        <v>0.7</v>
      </c>
      <c r="F113" s="73">
        <f t="shared" si="25"/>
        <v>66.5</v>
      </c>
      <c r="G113" s="8">
        <f t="shared" si="15"/>
        <v>70</v>
      </c>
      <c r="H113" s="8" t="str" cm="1">
        <f t="array" ref="H113">GetColorMatchValue(F113, $F$3:$F$10)</f>
        <v>s</v>
      </c>
      <c r="I113" s="101" t="str">
        <f t="shared" si="26"/>
        <v>&lt;tr data-section="222"&gt;&lt;td&gt;1 Set of 3 Reps&lt;/td&gt;&lt;td&gt;65%&lt;/td&gt;&lt;td&gt;${percent(s, 65)}kg&lt;/td&gt;&lt;/tr&gt;</v>
      </c>
      <c r="O113" s="45"/>
    </row>
    <row r="114" spans="1:15" ht="15" customHeight="1" x14ac:dyDescent="0.25">
      <c r="A114" s="8">
        <v>2</v>
      </c>
      <c r="B114" s="8">
        <v>2</v>
      </c>
      <c r="C114" s="8">
        <v>2</v>
      </c>
      <c r="D114" s="94"/>
      <c r="E114" s="8"/>
      <c r="F114" s="71"/>
      <c r="G114" s="8" t="str">
        <f t="shared" si="15"/>
        <v/>
      </c>
      <c r="H114" s="8" t="str" cm="1">
        <f t="array" ref="H114">GetColorMatchValue(F114, $F$3:$F$10)</f>
        <v/>
      </c>
      <c r="I114" s="96" t="s">
        <v>287</v>
      </c>
      <c r="O114" s="45"/>
    </row>
    <row r="115" spans="1:15" ht="15" customHeight="1" x14ac:dyDescent="0.25">
      <c r="A115" s="8">
        <v>2</v>
      </c>
      <c r="B115" s="8">
        <v>2</v>
      </c>
      <c r="C115" s="8">
        <v>3</v>
      </c>
      <c r="D115" s="93" t="s">
        <v>30</v>
      </c>
      <c r="E115" s="8"/>
      <c r="F115" s="71"/>
      <c r="G115" s="8" t="str">
        <f t="shared" si="15"/>
        <v/>
      </c>
      <c r="H115" s="8" t="str" cm="1">
        <f t="array" ref="H115">GetColorMatchValue(F115, $F$3:$F$10)</f>
        <v/>
      </c>
      <c r="I115" s="99" t="str">
        <f>"&lt;tr&gt;&lt;th colspan=""3""&gt;&lt;label&gt;"&amp;D114&amp;"&lt;input type=""checkbox"" class=""section-toggle"" data-section="""&amp;A114&amp;B114&amp;C114&amp;"""/&gt;&lt;/label&gt;&lt;/th&gt;&lt;/tr&gt;"</f>
        <v>&lt;tr&gt;&lt;th colspan="3"&gt;&lt;label&gt;&lt;input type="checkbox" class="section-toggle" data-section="222"/&gt;&lt;/label&gt;&lt;/th&gt;&lt;/tr&gt;</v>
      </c>
      <c r="O115" s="45"/>
    </row>
    <row r="116" spans="1:15" ht="15" customHeight="1" x14ac:dyDescent="0.25">
      <c r="A116" s="8">
        <v>2</v>
      </c>
      <c r="B116" s="8">
        <v>2</v>
      </c>
      <c r="C116" s="8">
        <v>3</v>
      </c>
      <c r="D116" s="94" t="s">
        <v>249</v>
      </c>
      <c r="E116" s="7">
        <v>0.6</v>
      </c>
      <c r="F116" s="77">
        <f t="shared" ref="F116:F119" si="27">$E$8*E116</f>
        <v>69</v>
      </c>
      <c r="G116" s="8">
        <f t="shared" si="15"/>
        <v>60</v>
      </c>
      <c r="H116" s="8" t="str" cm="1">
        <f t="array" ref="H116">GetColorMatchValue(F116, $F$3:$F$10)</f>
        <v>cj</v>
      </c>
      <c r="I116" s="101" t="str">
        <f t="shared" ref="I116:I119" si="28">"&lt;tr data-section="""&amp;A115&amp;B115&amp;C115&amp;"""&gt;&lt;td&gt;"&amp;D115&amp;"&lt;/td&gt;&lt;td&gt;"&amp;G115&amp;"%&lt;/td&gt;&lt;td&gt;${percent("&amp;H115&amp;", "&amp;G115&amp;")}kg&lt;/td&gt;&lt;/tr&gt;"</f>
        <v>&lt;tr data-section="223"&gt;&lt;td&gt;Power Clean + Push Jerk&lt;/td&gt;&lt;td&gt;%&lt;/td&gt;&lt;td&gt;${percent(, )}kg&lt;/td&gt;&lt;/tr&gt;</v>
      </c>
      <c r="O116" s="45"/>
    </row>
    <row r="117" spans="1:15" ht="15" customHeight="1" x14ac:dyDescent="0.25">
      <c r="A117" s="8">
        <v>2</v>
      </c>
      <c r="B117" s="8">
        <v>2</v>
      </c>
      <c r="C117" s="8">
        <v>3</v>
      </c>
      <c r="D117" s="94" t="s">
        <v>249</v>
      </c>
      <c r="E117" s="7">
        <v>0.7</v>
      </c>
      <c r="F117" s="77">
        <f t="shared" si="27"/>
        <v>80.5</v>
      </c>
      <c r="G117" s="8">
        <f t="shared" si="15"/>
        <v>70</v>
      </c>
      <c r="H117" s="8" t="str" cm="1">
        <f t="array" ref="H117">GetColorMatchValue(F117, $F$3:$F$10)</f>
        <v>cj</v>
      </c>
      <c r="I117" s="101" t="str">
        <f t="shared" si="28"/>
        <v>&lt;tr data-section="223"&gt;&lt;td&gt;1 Set of 2 P.Cl. + 3 P.Jr.&lt;/td&gt;&lt;td&gt;60%&lt;/td&gt;&lt;td&gt;${percent(cj, 60)}kg&lt;/td&gt;&lt;/tr&gt;</v>
      </c>
      <c r="O117" s="45"/>
    </row>
    <row r="118" spans="1:15" ht="15" customHeight="1" x14ac:dyDescent="0.25">
      <c r="A118" s="8">
        <v>2</v>
      </c>
      <c r="B118" s="8">
        <v>2</v>
      </c>
      <c r="C118" s="8">
        <v>3</v>
      </c>
      <c r="D118" s="94" t="s">
        <v>250</v>
      </c>
      <c r="E118" s="7">
        <v>0.75</v>
      </c>
      <c r="F118" s="77">
        <f t="shared" si="27"/>
        <v>86.25</v>
      </c>
      <c r="G118" s="8">
        <f t="shared" si="15"/>
        <v>75</v>
      </c>
      <c r="H118" s="8" t="str" cm="1">
        <f t="array" ref="H118">GetColorMatchValue(F118, $F$3:$F$10)</f>
        <v>cj</v>
      </c>
      <c r="I118" s="101" t="str">
        <f t="shared" si="28"/>
        <v>&lt;tr data-section="223"&gt;&lt;td&gt;1 Set of 2 P.Cl. + 3 P.Jr.&lt;/td&gt;&lt;td&gt;70%&lt;/td&gt;&lt;td&gt;${percent(cj, 70)}kg&lt;/td&gt;&lt;/tr&gt;</v>
      </c>
      <c r="O118" s="45"/>
    </row>
    <row r="119" spans="1:15" ht="15" customHeight="1" x14ac:dyDescent="0.25">
      <c r="A119" s="8">
        <v>2</v>
      </c>
      <c r="B119" s="8">
        <v>2</v>
      </c>
      <c r="C119" s="8">
        <v>3</v>
      </c>
      <c r="D119" s="94" t="s">
        <v>251</v>
      </c>
      <c r="E119" s="7">
        <v>0.7</v>
      </c>
      <c r="F119" s="77">
        <f t="shared" si="27"/>
        <v>80.5</v>
      </c>
      <c r="G119" s="8">
        <f t="shared" si="15"/>
        <v>70</v>
      </c>
      <c r="H119" s="8" t="str" cm="1">
        <f t="array" ref="H119">GetColorMatchValue(F119, $F$3:$F$10)</f>
        <v>cj</v>
      </c>
      <c r="I119" s="101" t="str">
        <f t="shared" si="28"/>
        <v>&lt;tr data-section="223"&gt;&lt;td&gt;1 Set of 1 P.Cl. + 2 P.Jr.&lt;/td&gt;&lt;td&gt;75%&lt;/td&gt;&lt;td&gt;${percent(cj, 75)}kg&lt;/td&gt;&lt;/tr&gt;</v>
      </c>
      <c r="O119" s="45"/>
    </row>
    <row r="120" spans="1:15" ht="15" customHeight="1" x14ac:dyDescent="0.25">
      <c r="A120" s="8">
        <v>2</v>
      </c>
      <c r="B120" s="8">
        <v>2</v>
      </c>
      <c r="C120" s="8">
        <v>3</v>
      </c>
      <c r="D120" s="94"/>
      <c r="E120" s="8"/>
      <c r="F120" s="71"/>
      <c r="G120" s="8" t="str">
        <f t="shared" si="15"/>
        <v/>
      </c>
      <c r="H120" s="8" t="str" cm="1">
        <f t="array" ref="H120">GetColorMatchValue(F120, $F$3:$F$10)</f>
        <v/>
      </c>
      <c r="I120" s="96" t="s">
        <v>287</v>
      </c>
      <c r="O120" s="45"/>
    </row>
    <row r="121" spans="1:15" ht="15" customHeight="1" x14ac:dyDescent="0.25">
      <c r="A121" s="8">
        <v>2</v>
      </c>
      <c r="B121" s="8">
        <v>2</v>
      </c>
      <c r="C121" s="8">
        <v>4</v>
      </c>
      <c r="D121" s="93" t="s">
        <v>31</v>
      </c>
      <c r="E121" s="8"/>
      <c r="F121" s="71"/>
      <c r="G121" s="8" t="str">
        <f t="shared" si="15"/>
        <v/>
      </c>
      <c r="H121" s="8" t="str" cm="1">
        <f t="array" ref="H121">GetColorMatchValue(F121, $F$3:$F$10)</f>
        <v/>
      </c>
      <c r="I121" s="99" t="str">
        <f>"&lt;tr&gt;&lt;th colspan=""3""&gt;&lt;label&gt;"&amp;D120&amp;"&lt;input type=""checkbox"" class=""section-toggle"" data-section="""&amp;A120&amp;B120&amp;C120&amp;"""/&gt;&lt;/label&gt;&lt;/th&gt;&lt;/tr&gt;"</f>
        <v>&lt;tr&gt;&lt;th colspan="3"&gt;&lt;label&gt;&lt;input type="checkbox" class="section-toggle" data-section="223"/&gt;&lt;/label&gt;&lt;/th&gt;&lt;/tr&gt;</v>
      </c>
      <c r="O121" s="45"/>
    </row>
    <row r="122" spans="1:15" ht="15" customHeight="1" x14ac:dyDescent="0.25">
      <c r="A122" s="8">
        <v>2</v>
      </c>
      <c r="B122" s="8">
        <v>2</v>
      </c>
      <c r="C122" s="8">
        <v>4</v>
      </c>
      <c r="D122" s="94" t="s">
        <v>228</v>
      </c>
      <c r="E122" s="7">
        <v>0.8</v>
      </c>
      <c r="F122" s="78">
        <f>$E$9*E122</f>
        <v>160</v>
      </c>
      <c r="G122" s="8">
        <f t="shared" si="15"/>
        <v>80</v>
      </c>
      <c r="H122" s="8" t="str" cm="1">
        <f t="array" ref="H122">GetColorMatchValue(F122, $F$3:$F$10)</f>
        <v>d</v>
      </c>
      <c r="I122" s="101" t="str">
        <f t="shared" ref="I122:I123" si="29">"&lt;tr data-section="""&amp;A121&amp;B121&amp;C121&amp;"""&gt;&lt;td&gt;"&amp;D121&amp;"&lt;/td&gt;&lt;td&gt;"&amp;G121&amp;"%&lt;/td&gt;&lt;td&gt;${percent("&amp;H121&amp;", "&amp;G121&amp;")}kg&lt;/td&gt;&lt;/tr&gt;"</f>
        <v>&lt;tr data-section="224"&gt;&lt;td&gt;RDL&lt;/td&gt;&lt;td&gt;%&lt;/td&gt;&lt;td&gt;${percent(, )}kg&lt;/td&gt;&lt;/tr&gt;</v>
      </c>
      <c r="O122" s="45"/>
    </row>
    <row r="123" spans="1:15" ht="15" customHeight="1" x14ac:dyDescent="0.25">
      <c r="A123" s="8">
        <v>2</v>
      </c>
      <c r="B123" s="8">
        <v>2</v>
      </c>
      <c r="C123" s="8">
        <v>4</v>
      </c>
      <c r="D123" s="94" t="s">
        <v>200</v>
      </c>
      <c r="E123" s="7">
        <v>0.85</v>
      </c>
      <c r="F123" s="78">
        <f>$E$9*E123</f>
        <v>170</v>
      </c>
      <c r="G123" s="8">
        <f t="shared" si="15"/>
        <v>85</v>
      </c>
      <c r="H123" s="8" t="str" cm="1">
        <f t="array" ref="H123">GetColorMatchValue(F123, $F$3:$F$10)</f>
        <v>d</v>
      </c>
      <c r="I123" s="101" t="str">
        <f t="shared" si="29"/>
        <v>&lt;tr data-section="224"&gt;&lt;td&gt;1 Set of 5 Reps&lt;/td&gt;&lt;td&gt;80%&lt;/td&gt;&lt;td&gt;${percent(d, 80)}kg&lt;/td&gt;&lt;/tr&gt;</v>
      </c>
      <c r="O123" s="45"/>
    </row>
    <row r="124" spans="1:15" ht="15" customHeight="1" x14ac:dyDescent="0.25">
      <c r="A124" s="8">
        <v>2</v>
      </c>
      <c r="B124" s="8">
        <v>2</v>
      </c>
      <c r="C124" s="8">
        <v>4</v>
      </c>
      <c r="D124" s="94"/>
      <c r="E124" s="8"/>
      <c r="F124" s="71"/>
      <c r="G124" s="8" t="str">
        <f t="shared" si="15"/>
        <v/>
      </c>
      <c r="H124" s="8" t="str" cm="1">
        <f t="array" ref="H124">GetColorMatchValue(F124, $F$3:$F$10)</f>
        <v/>
      </c>
      <c r="I124" s="96" t="s">
        <v>287</v>
      </c>
      <c r="O124" s="45"/>
    </row>
    <row r="125" spans="1:15" ht="15" customHeight="1" x14ac:dyDescent="0.25">
      <c r="A125" s="8">
        <v>2</v>
      </c>
      <c r="B125" s="8">
        <v>2</v>
      </c>
      <c r="C125" s="8">
        <v>5</v>
      </c>
      <c r="D125" s="93" t="s">
        <v>27</v>
      </c>
      <c r="E125" s="8"/>
      <c r="F125" s="71"/>
      <c r="G125" s="8" t="str">
        <f t="shared" si="15"/>
        <v/>
      </c>
      <c r="H125" s="8" t="str" cm="1">
        <f t="array" ref="H125">GetColorMatchValue(F125, $F$3:$F$10)</f>
        <v/>
      </c>
      <c r="I125" s="99" t="str">
        <f>"&lt;tr&gt;&lt;th colspan=""3""&gt;&lt;label&gt;"&amp;D124&amp;"&lt;input type=""checkbox"" class=""section-toggle"" data-section="""&amp;A124&amp;B124&amp;C124&amp;"""/&gt;&lt;/label&gt;&lt;/th&gt;&lt;/tr&gt;"</f>
        <v>&lt;tr&gt;&lt;th colspan="3"&gt;&lt;label&gt;&lt;input type="checkbox" class="section-toggle" data-section="224"/&gt;&lt;/label&gt;&lt;/th&gt;&lt;/tr&gt;</v>
      </c>
      <c r="O125" s="45"/>
    </row>
    <row r="126" spans="1:15" ht="15" customHeight="1" x14ac:dyDescent="0.25">
      <c r="A126" s="95">
        <v>2</v>
      </c>
      <c r="B126" s="95">
        <v>2</v>
      </c>
      <c r="C126" s="8">
        <v>5</v>
      </c>
      <c r="D126" s="94" t="s">
        <v>195</v>
      </c>
      <c r="E126" s="8" t="s">
        <v>194</v>
      </c>
      <c r="F126" s="71"/>
      <c r="G126" s="8" t="str">
        <f t="shared" si="15"/>
        <v/>
      </c>
      <c r="H126" s="8" t="str" cm="1">
        <f t="array" ref="H126">GetColorMatchValue(F126, $F$3:$F$10)</f>
        <v/>
      </c>
      <c r="I126" s="104" t="str">
        <f>"&lt;tr data-section="""&amp;A125&amp;B125&amp;C125&amp;"""&gt;&lt;td colspan=""3""&gt;"&amp;D125&amp;" "&amp;E125&amp;"&lt;/td&gt;&lt;/tr&gt;"</f>
        <v>&lt;tr data-section="225"&gt;&lt;td colspan="3"&gt;Abdominals &lt;/td&gt;&lt;/tr&gt;</v>
      </c>
      <c r="O126" s="45"/>
    </row>
    <row r="127" spans="1:15" ht="15" customHeight="1" x14ac:dyDescent="0.25">
      <c r="A127" s="8">
        <v>2</v>
      </c>
      <c r="B127" s="8">
        <v>3</v>
      </c>
      <c r="C127" s="8">
        <v>1</v>
      </c>
      <c r="D127" s="93" t="s">
        <v>34</v>
      </c>
      <c r="E127" s="8"/>
      <c r="F127" s="71"/>
      <c r="G127" s="8" t="str">
        <f t="shared" si="15"/>
        <v/>
      </c>
      <c r="H127" s="8" t="str" cm="1">
        <f t="array" ref="H127">GetColorMatchValue(F127, $F$3:$F$10)</f>
        <v/>
      </c>
      <c r="I127" s="99" t="str">
        <f>"&lt;tr&gt;&lt;th colspan=""3""&gt;&lt;label&gt;"&amp;D126&amp;"&lt;input type=""checkbox"" class=""section-toggle"" data-section="""&amp;A126&amp;B126&amp;C126&amp;"""/&gt;&lt;/label&gt;&lt;/th&gt;&lt;/tr&gt;"</f>
        <v>&lt;tr&gt;&lt;th colspan="3"&gt;&lt;label&gt;4 Sets of 20 Reps&lt;input type="checkbox" class="section-toggle" data-section="225"/&gt;&lt;/label&gt;&lt;/th&gt;&lt;/tr&gt;</v>
      </c>
      <c r="L127" s="45"/>
      <c r="O127" s="45"/>
    </row>
    <row r="128" spans="1:15" ht="15" customHeight="1" x14ac:dyDescent="0.25">
      <c r="A128" s="8">
        <v>2</v>
      </c>
      <c r="B128" s="8">
        <v>3</v>
      </c>
      <c r="C128" s="8">
        <v>1</v>
      </c>
      <c r="D128" s="94" t="s">
        <v>228</v>
      </c>
      <c r="E128" s="7">
        <v>0.6</v>
      </c>
      <c r="F128" s="79">
        <f>$E$4*E128</f>
        <v>84</v>
      </c>
      <c r="G128" s="8">
        <f t="shared" si="15"/>
        <v>60</v>
      </c>
      <c r="H128" s="8" t="str" cm="1">
        <f t="array" ref="H128">GetColorMatchValue(F128, $F$3:$F$10)</f>
        <v>fs</v>
      </c>
      <c r="I128" s="101" t="str">
        <f t="shared" ref="I128:I131" si="30">"&lt;tr data-section="""&amp;A127&amp;B127&amp;C127&amp;"""&gt;&lt;td&gt;"&amp;D127&amp;"&lt;/td&gt;&lt;td&gt;"&amp;G127&amp;"%&lt;/td&gt;&lt;td&gt;${percent("&amp;H127&amp;", "&amp;G127&amp;")}kg&lt;/td&gt;&lt;/tr&gt;"</f>
        <v>&lt;tr data-section="231"&gt;&lt;td&gt;Front Squat&lt;/td&gt;&lt;td&gt;%&lt;/td&gt;&lt;td&gt;${percent(, )}kg&lt;/td&gt;&lt;/tr&gt;</v>
      </c>
      <c r="L128" s="45"/>
      <c r="O128" s="45"/>
    </row>
    <row r="129" spans="1:15" ht="15" customHeight="1" x14ac:dyDescent="0.25">
      <c r="A129" s="8">
        <v>2</v>
      </c>
      <c r="B129" s="8">
        <v>3</v>
      </c>
      <c r="C129" s="8">
        <v>1</v>
      </c>
      <c r="D129" s="94" t="s">
        <v>228</v>
      </c>
      <c r="E129" s="7">
        <v>0.7</v>
      </c>
      <c r="F129" s="79">
        <f t="shared" ref="F129:F131" si="31">$E$4*E129</f>
        <v>98</v>
      </c>
      <c r="G129" s="8">
        <f t="shared" si="15"/>
        <v>70</v>
      </c>
      <c r="H129" s="8" t="str" cm="1">
        <f t="array" ref="H129">GetColorMatchValue(F129, $F$3:$F$10)</f>
        <v>fs</v>
      </c>
      <c r="I129" s="101" t="str">
        <f t="shared" si="30"/>
        <v>&lt;tr data-section="231"&gt;&lt;td&gt;1 Set of 5 Reps&lt;/td&gt;&lt;td&gt;60%&lt;/td&gt;&lt;td&gt;${percent(fs, 60)}kg&lt;/td&gt;&lt;/tr&gt;</v>
      </c>
      <c r="L129" s="45"/>
      <c r="O129" s="45"/>
    </row>
    <row r="130" spans="1:15" ht="15" customHeight="1" x14ac:dyDescent="0.25">
      <c r="A130" s="8">
        <v>2</v>
      </c>
      <c r="B130" s="8">
        <v>3</v>
      </c>
      <c r="C130" s="8">
        <v>1</v>
      </c>
      <c r="D130" s="94" t="s">
        <v>237</v>
      </c>
      <c r="E130" s="7">
        <v>0.8</v>
      </c>
      <c r="F130" s="79">
        <f t="shared" si="31"/>
        <v>112</v>
      </c>
      <c r="G130" s="8">
        <f t="shared" si="15"/>
        <v>80</v>
      </c>
      <c r="H130" s="8" t="str" cm="1">
        <f t="array" ref="H130">GetColorMatchValue(F130, $F$3:$F$10)</f>
        <v>fs</v>
      </c>
      <c r="I130" s="101" t="str">
        <f t="shared" si="30"/>
        <v>&lt;tr data-section="231"&gt;&lt;td&gt;1 Set of 5 Reps&lt;/td&gt;&lt;td&gt;70%&lt;/td&gt;&lt;td&gt;${percent(fs, 70)}kg&lt;/td&gt;&lt;/tr&gt;</v>
      </c>
      <c r="L130" s="45"/>
      <c r="O130" s="45"/>
    </row>
    <row r="131" spans="1:15" ht="15" customHeight="1" x14ac:dyDescent="0.25">
      <c r="A131" s="8">
        <v>2</v>
      </c>
      <c r="B131" s="8">
        <v>3</v>
      </c>
      <c r="C131" s="8">
        <v>1</v>
      </c>
      <c r="D131" s="94" t="s">
        <v>212</v>
      </c>
      <c r="E131" s="7">
        <v>0.9</v>
      </c>
      <c r="F131" s="79">
        <f t="shared" si="31"/>
        <v>126</v>
      </c>
      <c r="G131" s="8">
        <f t="shared" si="15"/>
        <v>90</v>
      </c>
      <c r="H131" s="8" t="str" cm="1">
        <f t="array" ref="H131">GetColorMatchValue(F131, $F$3:$F$10)</f>
        <v>fs</v>
      </c>
      <c r="I131" s="101" t="str">
        <f t="shared" si="30"/>
        <v>&lt;tr data-section="231"&gt;&lt;td&gt;3 Sets of 4 Reps&lt;/td&gt;&lt;td&gt;80%&lt;/td&gt;&lt;td&gt;${percent(fs, 80)}kg&lt;/td&gt;&lt;/tr&gt;</v>
      </c>
      <c r="L131" s="45"/>
      <c r="O131" s="45"/>
    </row>
    <row r="132" spans="1:15" ht="15" customHeight="1" x14ac:dyDescent="0.25">
      <c r="A132" s="8">
        <v>2</v>
      </c>
      <c r="B132" s="8">
        <v>3</v>
      </c>
      <c r="C132" s="8">
        <v>1</v>
      </c>
      <c r="D132" s="94"/>
      <c r="E132" s="8"/>
      <c r="F132" s="71"/>
      <c r="G132" s="8" t="str">
        <f t="shared" si="15"/>
        <v/>
      </c>
      <c r="H132" s="8" t="str" cm="1">
        <f t="array" ref="H132">GetColorMatchValue(F132, $F$3:$F$10)</f>
        <v/>
      </c>
      <c r="I132" s="96" t="s">
        <v>287</v>
      </c>
      <c r="L132" s="45"/>
      <c r="O132" s="45"/>
    </row>
    <row r="133" spans="1:15" ht="15" customHeight="1" x14ac:dyDescent="0.25">
      <c r="A133" s="8">
        <v>2</v>
      </c>
      <c r="B133" s="8">
        <v>3</v>
      </c>
      <c r="C133" s="8">
        <v>2</v>
      </c>
      <c r="D133" s="93" t="s">
        <v>24</v>
      </c>
      <c r="E133" s="8"/>
      <c r="F133" s="71"/>
      <c r="G133" s="8" t="str">
        <f t="shared" si="15"/>
        <v/>
      </c>
      <c r="H133" s="8" t="str" cm="1">
        <f t="array" ref="H133">GetColorMatchValue(F133, $F$3:$F$10)</f>
        <v/>
      </c>
      <c r="I133" s="99" t="str">
        <f>"&lt;tr&gt;&lt;th colspan=""3""&gt;&lt;label&gt;"&amp;D132&amp;"&lt;input type=""checkbox"" class=""section-toggle"" data-section="""&amp;A132&amp;B132&amp;C132&amp;"""/&gt;&lt;/label&gt;&lt;/th&gt;&lt;/tr&gt;"</f>
        <v>&lt;tr&gt;&lt;th colspan="3"&gt;&lt;label&gt;&lt;input type="checkbox" class="section-toggle" data-section="231"/&gt;&lt;/label&gt;&lt;/th&gt;&lt;/tr&gt;</v>
      </c>
      <c r="L133" s="45"/>
      <c r="O133" s="45"/>
    </row>
    <row r="134" spans="1:15" ht="15" customHeight="1" x14ac:dyDescent="0.25">
      <c r="A134" s="8">
        <v>2</v>
      </c>
      <c r="B134" s="8">
        <v>3</v>
      </c>
      <c r="C134" s="8">
        <v>2</v>
      </c>
      <c r="D134" s="94" t="s">
        <v>213</v>
      </c>
      <c r="E134" s="7">
        <v>0.6</v>
      </c>
      <c r="F134" s="73">
        <f t="shared" ref="F134:F138" si="32">$E$7*E134</f>
        <v>57</v>
      </c>
      <c r="G134" s="8">
        <f t="shared" si="15"/>
        <v>60</v>
      </c>
      <c r="H134" s="8" t="str" cm="1">
        <f t="array" ref="H134">GetColorMatchValue(F134, $F$3:$F$10)</f>
        <v>s</v>
      </c>
      <c r="I134" s="101" t="str">
        <f t="shared" ref="I134:I138" si="33">"&lt;tr data-section="""&amp;A133&amp;B133&amp;C133&amp;"""&gt;&lt;td&gt;"&amp;D133&amp;"&lt;/td&gt;&lt;td&gt;"&amp;G133&amp;"%&lt;/td&gt;&lt;td&gt;${percent("&amp;H133&amp;", "&amp;G133&amp;")}kg&lt;/td&gt;&lt;/tr&gt;"</f>
        <v>&lt;tr data-section="232"&gt;&lt;td&gt;Hang Snatch&lt;/td&gt;&lt;td&gt;%&lt;/td&gt;&lt;td&gt;${percent(, )}kg&lt;/td&gt;&lt;/tr&gt;</v>
      </c>
      <c r="L134" s="45"/>
      <c r="O134" s="45"/>
    </row>
    <row r="135" spans="1:15" ht="15" customHeight="1" x14ac:dyDescent="0.25">
      <c r="A135" s="8">
        <v>2</v>
      </c>
      <c r="B135" s="8">
        <v>3</v>
      </c>
      <c r="C135" s="8">
        <v>2</v>
      </c>
      <c r="D135" s="94" t="s">
        <v>213</v>
      </c>
      <c r="E135" s="7">
        <v>0.7</v>
      </c>
      <c r="F135" s="73">
        <f t="shared" si="32"/>
        <v>66.5</v>
      </c>
      <c r="G135" s="8">
        <f t="shared" si="15"/>
        <v>70</v>
      </c>
      <c r="H135" s="8" t="str" cm="1">
        <f t="array" ref="H135">GetColorMatchValue(F135, $F$3:$F$10)</f>
        <v>s</v>
      </c>
      <c r="I135" s="101" t="str">
        <f t="shared" si="33"/>
        <v>&lt;tr data-section="232"&gt;&lt;td&gt;1 Set of 3 Reps&lt;/td&gt;&lt;td&gt;60%&lt;/td&gt;&lt;td&gt;${percent(s, 60)}kg&lt;/td&gt;&lt;/tr&gt;</v>
      </c>
      <c r="L135" s="45"/>
      <c r="O135" s="45"/>
    </row>
    <row r="136" spans="1:15" ht="15" customHeight="1" x14ac:dyDescent="0.25">
      <c r="A136" s="8">
        <v>2</v>
      </c>
      <c r="B136" s="8">
        <v>3</v>
      </c>
      <c r="C136" s="8">
        <v>2</v>
      </c>
      <c r="D136" s="94" t="s">
        <v>213</v>
      </c>
      <c r="E136" s="7">
        <v>0.8</v>
      </c>
      <c r="F136" s="73">
        <f t="shared" si="32"/>
        <v>76</v>
      </c>
      <c r="G136" s="8">
        <f t="shared" ref="G136:G195" si="34">IF(ISNUMBER(E136), E136 * 100, "")</f>
        <v>80</v>
      </c>
      <c r="H136" s="8" t="str" cm="1">
        <f t="array" ref="H136">GetColorMatchValue(F136, $F$3:$F$10)</f>
        <v>s</v>
      </c>
      <c r="I136" s="101" t="str">
        <f t="shared" si="33"/>
        <v>&lt;tr data-section="232"&gt;&lt;td&gt;1 Set of 3 Reps&lt;/td&gt;&lt;td&gt;70%&lt;/td&gt;&lt;td&gt;${percent(s, 70)}kg&lt;/td&gt;&lt;/tr&gt;</v>
      </c>
      <c r="L136" s="45"/>
      <c r="O136" s="45"/>
    </row>
    <row r="137" spans="1:15" ht="15" customHeight="1" x14ac:dyDescent="0.25">
      <c r="A137" s="8">
        <v>2</v>
      </c>
      <c r="B137" s="8">
        <v>3</v>
      </c>
      <c r="C137" s="8">
        <v>2</v>
      </c>
      <c r="D137" s="94" t="s">
        <v>236</v>
      </c>
      <c r="E137" s="7">
        <v>0.85</v>
      </c>
      <c r="F137" s="73">
        <f t="shared" si="32"/>
        <v>80.75</v>
      </c>
      <c r="G137" s="8">
        <f t="shared" si="34"/>
        <v>85</v>
      </c>
      <c r="H137" s="8" t="str" cm="1">
        <f t="array" ref="H137">GetColorMatchValue(F137, $F$3:$F$10)</f>
        <v>s</v>
      </c>
      <c r="I137" s="101" t="str">
        <f t="shared" si="33"/>
        <v>&lt;tr data-section="232"&gt;&lt;td&gt;1 Set of 3 Reps&lt;/td&gt;&lt;td&gt;80%&lt;/td&gt;&lt;td&gt;${percent(s, 80)}kg&lt;/td&gt;&lt;/tr&gt;</v>
      </c>
      <c r="L137" s="45"/>
      <c r="O137" s="45"/>
    </row>
    <row r="138" spans="1:15" ht="15" customHeight="1" x14ac:dyDescent="0.25">
      <c r="A138" s="8">
        <v>2</v>
      </c>
      <c r="B138" s="8">
        <v>3</v>
      </c>
      <c r="C138" s="8">
        <v>2</v>
      </c>
      <c r="D138" s="94" t="s">
        <v>238</v>
      </c>
      <c r="E138" s="7">
        <v>0.8</v>
      </c>
      <c r="F138" s="73">
        <f t="shared" si="32"/>
        <v>76</v>
      </c>
      <c r="G138" s="8">
        <f t="shared" si="34"/>
        <v>80</v>
      </c>
      <c r="H138" s="8" t="str" cm="1">
        <f t="array" ref="H138">GetColorMatchValue(F138, $F$3:$F$10)</f>
        <v>s</v>
      </c>
      <c r="I138" s="101" t="str">
        <f t="shared" si="33"/>
        <v>&lt;tr data-section="232"&gt;&lt;td&gt;1 Set of 2 Reps&lt;/td&gt;&lt;td&gt;85%&lt;/td&gt;&lt;td&gt;${percent(s, 85)}kg&lt;/td&gt;&lt;/tr&gt;</v>
      </c>
      <c r="L138" s="45"/>
      <c r="O138" s="45"/>
    </row>
    <row r="139" spans="1:15" ht="15" customHeight="1" x14ac:dyDescent="0.25">
      <c r="A139" s="8">
        <v>2</v>
      </c>
      <c r="B139" s="8">
        <v>3</v>
      </c>
      <c r="C139" s="8">
        <v>2</v>
      </c>
      <c r="D139" s="94"/>
      <c r="E139" s="8"/>
      <c r="F139" s="71"/>
      <c r="G139" s="8" t="str">
        <f t="shared" si="34"/>
        <v/>
      </c>
      <c r="H139" s="8" t="str" cm="1">
        <f t="array" ref="H139">GetColorMatchValue(F139, $F$3:$F$10)</f>
        <v/>
      </c>
      <c r="I139" s="96" t="s">
        <v>287</v>
      </c>
      <c r="L139" s="45"/>
      <c r="O139" s="45"/>
    </row>
    <row r="140" spans="1:15" ht="15" customHeight="1" x14ac:dyDescent="0.25">
      <c r="A140" s="8">
        <v>2</v>
      </c>
      <c r="B140" s="8">
        <v>3</v>
      </c>
      <c r="C140" s="8">
        <v>3</v>
      </c>
      <c r="D140" s="93" t="s">
        <v>25</v>
      </c>
      <c r="E140" s="8"/>
      <c r="F140" s="71"/>
      <c r="G140" s="8" t="str">
        <f t="shared" si="34"/>
        <v/>
      </c>
      <c r="H140" s="8" t="str" cm="1">
        <f t="array" ref="H140">GetColorMatchValue(F140, $F$3:$F$10)</f>
        <v/>
      </c>
      <c r="I140" s="99" t="str">
        <f>"&lt;tr&gt;&lt;th colspan=""3""&gt;&lt;label&gt;"&amp;D139&amp;"&lt;input type=""checkbox"" class=""section-toggle"" data-section="""&amp;A139&amp;B139&amp;C139&amp;"""/&gt;&lt;/label&gt;&lt;/th&gt;&lt;/tr&gt;"</f>
        <v>&lt;tr&gt;&lt;th colspan="3"&gt;&lt;label&gt;&lt;input type="checkbox" class="section-toggle" data-section="232"/&gt;&lt;/label&gt;&lt;/th&gt;&lt;/tr&gt;</v>
      </c>
      <c r="L140" s="45"/>
      <c r="O140" s="45"/>
    </row>
    <row r="141" spans="1:15" ht="15" customHeight="1" x14ac:dyDescent="0.25">
      <c r="A141" s="8">
        <v>2</v>
      </c>
      <c r="B141" s="8">
        <v>3</v>
      </c>
      <c r="C141" s="8">
        <v>3</v>
      </c>
      <c r="D141" s="94" t="s">
        <v>247</v>
      </c>
      <c r="E141" s="7">
        <v>0.6</v>
      </c>
      <c r="F141" s="77">
        <f t="shared" ref="F141:F143" si="35">$E$8*E141</f>
        <v>69</v>
      </c>
      <c r="G141" s="8">
        <f t="shared" si="34"/>
        <v>60</v>
      </c>
      <c r="H141" s="8" t="str" cm="1">
        <f t="array" ref="H141">GetColorMatchValue(F141, $F$3:$F$10)</f>
        <v>cj</v>
      </c>
      <c r="I141" s="101" t="str">
        <f t="shared" ref="I141:I143" si="36">"&lt;tr data-section="""&amp;A140&amp;B140&amp;C140&amp;"""&gt;&lt;td&gt;"&amp;D140&amp;"&lt;/td&gt;&lt;td&gt;"&amp;G140&amp;"%&lt;/td&gt;&lt;td&gt;${percent("&amp;H140&amp;", "&amp;G140&amp;")}kg&lt;/td&gt;&lt;/tr&gt;"</f>
        <v>&lt;tr data-section="233"&gt;&lt;td&gt;Hang Clean + Jerk&lt;/td&gt;&lt;td&gt;%&lt;/td&gt;&lt;td&gt;${percent(, )}kg&lt;/td&gt;&lt;/tr&gt;</v>
      </c>
      <c r="L141" s="45"/>
      <c r="O141" s="45"/>
    </row>
    <row r="142" spans="1:15" s="13" customFormat="1" ht="15" customHeight="1" x14ac:dyDescent="0.25">
      <c r="A142" s="8">
        <v>2</v>
      </c>
      <c r="B142" s="8">
        <v>3</v>
      </c>
      <c r="C142" s="8">
        <v>3</v>
      </c>
      <c r="D142" s="94" t="s">
        <v>247</v>
      </c>
      <c r="E142" s="7">
        <v>0.7</v>
      </c>
      <c r="F142" s="77">
        <f t="shared" si="35"/>
        <v>80.5</v>
      </c>
      <c r="G142" s="8">
        <f t="shared" si="34"/>
        <v>70</v>
      </c>
      <c r="H142" s="8" t="str" cm="1">
        <f t="array" ref="H142">GetColorMatchValue(F142, $F$3:$F$10)</f>
        <v>cj</v>
      </c>
      <c r="I142" s="101" t="str">
        <f t="shared" si="36"/>
        <v>&lt;tr data-section="233"&gt;&lt;td&gt;1 Set of 3 Hg.Cl. + 1 Jr.&lt;/td&gt;&lt;td&gt;60%&lt;/td&gt;&lt;td&gt;${percent(cj, 60)}kg&lt;/td&gt;&lt;/tr&gt;</v>
      </c>
    </row>
    <row r="143" spans="1:15" ht="15" customHeight="1" x14ac:dyDescent="0.25">
      <c r="A143" s="8">
        <v>2</v>
      </c>
      <c r="B143" s="8">
        <v>3</v>
      </c>
      <c r="C143" s="8">
        <v>3</v>
      </c>
      <c r="D143" s="94" t="s">
        <v>252</v>
      </c>
      <c r="E143" s="7">
        <v>0.8</v>
      </c>
      <c r="F143" s="77">
        <f t="shared" si="35"/>
        <v>92</v>
      </c>
      <c r="G143" s="8">
        <f t="shared" si="34"/>
        <v>80</v>
      </c>
      <c r="H143" s="8" t="str" cm="1">
        <f t="array" ref="H143">GetColorMatchValue(F143, $F$3:$F$10)</f>
        <v>cj</v>
      </c>
      <c r="I143" s="101" t="str">
        <f t="shared" si="36"/>
        <v>&lt;tr data-section="233"&gt;&lt;td&gt;1 Set of 3 Hg.Cl. + 1 Jr.&lt;/td&gt;&lt;td&gt;70%&lt;/td&gt;&lt;td&gt;${percent(cj, 70)}kg&lt;/td&gt;&lt;/tr&gt;</v>
      </c>
    </row>
    <row r="144" spans="1:15" ht="15" customHeight="1" x14ac:dyDescent="0.25">
      <c r="A144" s="8">
        <v>2</v>
      </c>
      <c r="B144" s="8">
        <v>3</v>
      </c>
      <c r="C144" s="8">
        <v>3</v>
      </c>
      <c r="D144" s="94"/>
      <c r="E144" s="8"/>
      <c r="F144" s="71"/>
      <c r="G144" s="8" t="str">
        <f t="shared" si="34"/>
        <v/>
      </c>
      <c r="H144" s="8" t="str" cm="1">
        <f t="array" ref="H144">GetColorMatchValue(F144, $F$3:$F$10)</f>
        <v/>
      </c>
      <c r="I144" s="96" t="s">
        <v>287</v>
      </c>
    </row>
    <row r="145" spans="1:9" ht="15" customHeight="1" x14ac:dyDescent="0.25">
      <c r="A145" s="8">
        <v>2</v>
      </c>
      <c r="B145" s="8">
        <v>3</v>
      </c>
      <c r="C145" s="8">
        <v>4</v>
      </c>
      <c r="D145" s="93" t="s">
        <v>86</v>
      </c>
      <c r="E145" s="8"/>
      <c r="F145" s="71"/>
      <c r="G145" s="8" t="str">
        <f t="shared" si="34"/>
        <v/>
      </c>
      <c r="H145" s="8" t="str" cm="1">
        <f t="array" ref="H145">GetColorMatchValue(F145, $F$3:$F$10)</f>
        <v/>
      </c>
      <c r="I145" s="99" t="str">
        <f>"&lt;tr&gt;&lt;th colspan=""3""&gt;&lt;label&gt;"&amp;D144&amp;"&lt;input type=""checkbox"" class=""section-toggle"" data-section="""&amp;A144&amp;B144&amp;C144&amp;"""/&gt;&lt;/label&gt;&lt;/th&gt;&lt;/tr&gt;"</f>
        <v>&lt;tr&gt;&lt;th colspan="3"&gt;&lt;label&gt;&lt;input type="checkbox" class="section-toggle" data-section="233"/&gt;&lt;/label&gt;&lt;/th&gt;&lt;/tr&gt;</v>
      </c>
    </row>
    <row r="146" spans="1:9" ht="15" customHeight="1" x14ac:dyDescent="0.25">
      <c r="A146" s="8">
        <v>2</v>
      </c>
      <c r="B146" s="8">
        <v>3</v>
      </c>
      <c r="C146" s="8">
        <v>4</v>
      </c>
      <c r="D146" s="94" t="s">
        <v>220</v>
      </c>
      <c r="E146" s="7">
        <v>0.8</v>
      </c>
      <c r="F146" s="75">
        <f t="shared" ref="F146:F147" si="37">$E$6*E146</f>
        <v>88</v>
      </c>
      <c r="G146" s="8">
        <f t="shared" si="34"/>
        <v>80</v>
      </c>
      <c r="H146" s="8" t="str" cm="1">
        <f t="array" ref="H146">GetColorMatchValue(F146, $F$3:$F$10)</f>
        <v>c</v>
      </c>
      <c r="I146" s="101" t="str">
        <f t="shared" ref="I146:I147" si="38">"&lt;tr data-section="""&amp;A145&amp;B145&amp;C145&amp;"""&gt;&lt;td&gt;"&amp;D145&amp;"&lt;/td&gt;&lt;td&gt;"&amp;G145&amp;"%&lt;/td&gt;&lt;td&gt;${percent("&amp;H145&amp;", "&amp;G145&amp;")}kg&lt;/td&gt;&lt;/tr&gt;"</f>
        <v>&lt;tr data-section="234"&gt;&lt;td&gt;Clean Pulls &lt;/td&gt;&lt;td&gt;%&lt;/td&gt;&lt;td&gt;${percent(, )}kg&lt;/td&gt;&lt;/tr&gt;</v>
      </c>
    </row>
    <row r="147" spans="1:9" ht="15" customHeight="1" x14ac:dyDescent="0.25">
      <c r="A147" s="8">
        <v>2</v>
      </c>
      <c r="B147" s="8">
        <v>3</v>
      </c>
      <c r="C147" s="8">
        <v>4</v>
      </c>
      <c r="D147" s="94" t="s">
        <v>200</v>
      </c>
      <c r="E147" s="7">
        <v>0.9</v>
      </c>
      <c r="F147" s="75">
        <f t="shared" si="37"/>
        <v>99</v>
      </c>
      <c r="G147" s="8">
        <f t="shared" si="34"/>
        <v>90</v>
      </c>
      <c r="H147" s="8" t="str" cm="1">
        <f t="array" ref="H147">GetColorMatchValue(F147, $F$3:$F$10)</f>
        <v>c</v>
      </c>
      <c r="I147" s="101" t="str">
        <f t="shared" si="38"/>
        <v>&lt;tr data-section="234"&gt;&lt;td&gt;1 Set of 4 Reps&lt;/td&gt;&lt;td&gt;80%&lt;/td&gt;&lt;td&gt;${percent(c, 80)}kg&lt;/td&gt;&lt;/tr&gt;</v>
      </c>
    </row>
    <row r="148" spans="1:9" ht="15" customHeight="1" x14ac:dyDescent="0.25">
      <c r="A148" s="8">
        <v>2</v>
      </c>
      <c r="B148" s="8">
        <v>4</v>
      </c>
      <c r="C148" s="8">
        <v>1</v>
      </c>
      <c r="D148" s="93" t="s">
        <v>35</v>
      </c>
      <c r="E148" s="8"/>
      <c r="F148" s="71"/>
      <c r="G148" s="8" t="str">
        <f t="shared" si="34"/>
        <v/>
      </c>
      <c r="H148" s="8" t="str" cm="1">
        <f t="array" ref="H148">GetColorMatchValue(F148, $F$3:$F$10)</f>
        <v/>
      </c>
      <c r="I148" s="99" t="str">
        <f>"&lt;tr&gt;&lt;th colspan=""3""&gt;&lt;label&gt;"&amp;D147&amp;"&lt;input type=""checkbox"" class=""section-toggle"" data-section="""&amp;A147&amp;B147&amp;C147&amp;"""/&gt;&lt;/label&gt;&lt;/th&gt;&lt;/tr&gt;"</f>
        <v>&lt;tr&gt;&lt;th colspan="3"&gt;&lt;label&gt;5 Sets of 4 Reps&lt;input type="checkbox" class="section-toggle" data-section="234"/&gt;&lt;/label&gt;&lt;/th&gt;&lt;/tr&gt;</v>
      </c>
    </row>
    <row r="149" spans="1:9" ht="15" customHeight="1" x14ac:dyDescent="0.25">
      <c r="A149" s="95">
        <v>2</v>
      </c>
      <c r="B149" s="95">
        <v>4</v>
      </c>
      <c r="C149" s="8">
        <v>1</v>
      </c>
      <c r="D149" s="94" t="s">
        <v>206</v>
      </c>
      <c r="E149" s="8" t="s">
        <v>197</v>
      </c>
      <c r="F149" s="71"/>
      <c r="G149" s="8" t="str">
        <f t="shared" si="34"/>
        <v/>
      </c>
      <c r="H149" s="8" t="str" cm="1">
        <f t="array" ref="H149">GetColorMatchValue(F149, $F$3:$F$10)</f>
        <v/>
      </c>
      <c r="I149" s="104" t="str">
        <f>"&lt;tr data-section="""&amp;A148&amp;B148&amp;C148&amp;"""&gt;&lt;td colspan=""3""&gt;"&amp;D148&amp;" "&amp;E148&amp;"&lt;/td&gt;&lt;/tr&gt;"</f>
        <v>&lt;tr data-section="241"&gt;&lt;td colspan="3"&gt;Power Clean + Press &lt;/td&gt;&lt;/tr&gt;</v>
      </c>
    </row>
    <row r="150" spans="1:9" ht="15" customHeight="1" x14ac:dyDescent="0.25">
      <c r="A150" s="8">
        <v>2</v>
      </c>
      <c r="B150" s="8">
        <v>4</v>
      </c>
      <c r="C150" s="8">
        <v>1</v>
      </c>
      <c r="D150" s="94"/>
      <c r="E150" s="8"/>
      <c r="F150" s="71"/>
      <c r="G150" s="8" t="str">
        <f t="shared" si="34"/>
        <v/>
      </c>
      <c r="H150" s="8" t="str" cm="1">
        <f t="array" ref="H150">GetColorMatchValue(F150, $F$3:$F$10)</f>
        <v/>
      </c>
      <c r="I150" s="96" t="s">
        <v>287</v>
      </c>
    </row>
    <row r="151" spans="1:9" ht="15" customHeight="1" x14ac:dyDescent="0.25">
      <c r="A151" s="8">
        <v>2</v>
      </c>
      <c r="B151" s="8">
        <v>4</v>
      </c>
      <c r="C151" s="8">
        <v>2</v>
      </c>
      <c r="D151" s="93" t="s">
        <v>38</v>
      </c>
      <c r="E151" s="8"/>
      <c r="F151" s="71"/>
      <c r="G151" s="8" t="str">
        <f t="shared" si="34"/>
        <v/>
      </c>
      <c r="H151" s="8" t="str" cm="1">
        <f t="array" ref="H151">GetColorMatchValue(F151, $F$3:$F$10)</f>
        <v/>
      </c>
      <c r="I151" s="99" t="str">
        <f>"&lt;tr&gt;&lt;th colspan=""3""&gt;&lt;label&gt;"&amp;D150&amp;"&lt;input type=""checkbox"" class=""section-toggle"" data-section="""&amp;A150&amp;B150&amp;C150&amp;"""/&gt;&lt;/label&gt;&lt;/th&gt;&lt;/tr&gt;"</f>
        <v>&lt;tr&gt;&lt;th colspan="3"&gt;&lt;label&gt;&lt;input type="checkbox" class="section-toggle" data-section="241"/&gt;&lt;/label&gt;&lt;/th&gt;&lt;/tr&gt;</v>
      </c>
    </row>
    <row r="152" spans="1:9" ht="15" customHeight="1" x14ac:dyDescent="0.25">
      <c r="A152" s="8">
        <v>2</v>
      </c>
      <c r="B152" s="8">
        <v>4</v>
      </c>
      <c r="C152" s="8">
        <v>2</v>
      </c>
      <c r="D152" s="94" t="s">
        <v>219</v>
      </c>
      <c r="E152" s="7">
        <v>0.6</v>
      </c>
      <c r="F152" s="74">
        <f t="shared" ref="F152:F153" si="39">$E$5*E152</f>
        <v>54</v>
      </c>
      <c r="G152" s="8">
        <f t="shared" si="34"/>
        <v>60</v>
      </c>
      <c r="H152" s="8" t="str" cm="1">
        <f t="array" ref="H152">GetColorMatchValue(F152, $F$3:$F$10)</f>
        <v>os</v>
      </c>
      <c r="I152" s="101" t="str">
        <f t="shared" ref="I152:I153" si="40">"&lt;tr data-section="""&amp;A151&amp;B151&amp;C151&amp;"""&gt;&lt;td&gt;"&amp;D151&amp;"&lt;/td&gt;&lt;td&gt;"&amp;G151&amp;"%&lt;/td&gt;&lt;td&gt;${percent("&amp;H151&amp;", "&amp;G151&amp;")}kg&lt;/td&gt;&lt;/tr&gt;"</f>
        <v>&lt;tr data-section="242"&gt;&lt;td&gt;Power Snatch + Behind the Neck Snatch Grip Push Press + Overhead Squat&lt;/td&gt;&lt;td&gt;%&lt;/td&gt;&lt;td&gt;${percent(, )}kg&lt;/td&gt;&lt;/tr&gt;</v>
      </c>
    </row>
    <row r="153" spans="1:9" ht="15" customHeight="1" x14ac:dyDescent="0.25">
      <c r="A153" s="8">
        <v>2</v>
      </c>
      <c r="B153" s="8">
        <v>4</v>
      </c>
      <c r="C153" s="8">
        <v>2</v>
      </c>
      <c r="D153" s="94" t="s">
        <v>253</v>
      </c>
      <c r="E153" s="7">
        <v>0.7</v>
      </c>
      <c r="F153" s="74">
        <f t="shared" si="39"/>
        <v>62.999999999999993</v>
      </c>
      <c r="G153" s="8">
        <f t="shared" si="34"/>
        <v>70</v>
      </c>
      <c r="H153" s="8" t="str" cm="1">
        <f t="array" ref="H153">GetColorMatchValue(F153, $F$3:$F$10)</f>
        <v>os</v>
      </c>
      <c r="I153" s="101" t="str">
        <f t="shared" si="40"/>
        <v>&lt;tr data-section="242"&gt;&lt;td&gt;1 Set of 3 P.Sn. + 3 B.N.Sn.G.P.Pr. + 3 Oh.S.&lt;/td&gt;&lt;td&gt;60%&lt;/td&gt;&lt;td&gt;${percent(os, 60)}kg&lt;/td&gt;&lt;/tr&gt;</v>
      </c>
    </row>
    <row r="154" spans="1:9" ht="15" customHeight="1" x14ac:dyDescent="0.25">
      <c r="A154" s="8">
        <v>2</v>
      </c>
      <c r="B154" s="8">
        <v>4</v>
      </c>
      <c r="C154" s="8">
        <v>2</v>
      </c>
      <c r="D154" s="94"/>
      <c r="E154" s="8"/>
      <c r="F154" s="71"/>
      <c r="G154" s="8" t="str">
        <f t="shared" si="34"/>
        <v/>
      </c>
      <c r="H154" s="8" t="str" cm="1">
        <f t="array" ref="H154">GetColorMatchValue(F154, $F$3:$F$10)</f>
        <v/>
      </c>
      <c r="I154" s="96" t="s">
        <v>287</v>
      </c>
    </row>
    <row r="155" spans="1:9" ht="15" customHeight="1" x14ac:dyDescent="0.25">
      <c r="A155" s="8">
        <v>2</v>
      </c>
      <c r="B155" s="8">
        <v>4</v>
      </c>
      <c r="C155" s="8">
        <v>3</v>
      </c>
      <c r="D155" s="93" t="s">
        <v>39</v>
      </c>
      <c r="E155" s="8"/>
      <c r="F155" s="71"/>
      <c r="G155" s="8" t="str">
        <f t="shared" si="34"/>
        <v/>
      </c>
      <c r="H155" s="8" t="str" cm="1">
        <f t="array" ref="H155">GetColorMatchValue(F155, $F$3:$F$10)</f>
        <v/>
      </c>
      <c r="I155" s="99" t="str">
        <f>"&lt;tr&gt;&lt;th colspan=""3""&gt;&lt;label&gt;"&amp;D154&amp;"&lt;input type=""checkbox"" class=""section-toggle"" data-section="""&amp;A154&amp;B154&amp;C154&amp;"""/&gt;&lt;/label&gt;&lt;/th&gt;&lt;/tr&gt;"</f>
        <v>&lt;tr&gt;&lt;th colspan="3"&gt;&lt;label&gt;&lt;input type="checkbox" class="section-toggle" data-section="242"/&gt;&lt;/label&gt;&lt;/th&gt;&lt;/tr&gt;</v>
      </c>
    </row>
    <row r="156" spans="1:9" ht="15" customHeight="1" x14ac:dyDescent="0.25">
      <c r="A156" s="8">
        <v>2</v>
      </c>
      <c r="B156" s="8">
        <v>4</v>
      </c>
      <c r="C156" s="8">
        <v>3</v>
      </c>
      <c r="D156" s="94" t="s">
        <v>217</v>
      </c>
      <c r="E156" s="7">
        <v>0.6</v>
      </c>
      <c r="F156" s="77">
        <f t="shared" ref="F156:F157" si="41">$E$8*E156</f>
        <v>69</v>
      </c>
      <c r="G156" s="8">
        <f t="shared" si="34"/>
        <v>60</v>
      </c>
      <c r="H156" s="8" t="str" cm="1">
        <f t="array" ref="H156">GetColorMatchValue(F156, $F$3:$F$10)</f>
        <v>cj</v>
      </c>
      <c r="I156" s="101" t="str">
        <f t="shared" ref="I156:I157" si="42">"&lt;tr data-section="""&amp;A155&amp;B155&amp;C155&amp;"""&gt;&lt;td&gt;"&amp;D155&amp;"&lt;/td&gt;&lt;td&gt;"&amp;G155&amp;"%&lt;/td&gt;&lt;td&gt;${percent("&amp;H155&amp;", "&amp;G155&amp;")}kg&lt;/td&gt;&lt;/tr&gt;"</f>
        <v>&lt;tr data-section="243"&gt;&lt;td&gt;Power Clean + Front Squat + Jerk&lt;/td&gt;&lt;td&gt;%&lt;/td&gt;&lt;td&gt;${percent(, )}kg&lt;/td&gt;&lt;/tr&gt;</v>
      </c>
    </row>
    <row r="157" spans="1:9" ht="15" customHeight="1" x14ac:dyDescent="0.25">
      <c r="A157" s="8">
        <v>2</v>
      </c>
      <c r="B157" s="8">
        <v>4</v>
      </c>
      <c r="C157" s="8">
        <v>3</v>
      </c>
      <c r="D157" s="94" t="s">
        <v>254</v>
      </c>
      <c r="E157" s="7">
        <v>0.7</v>
      </c>
      <c r="F157" s="77">
        <f t="shared" si="41"/>
        <v>80.5</v>
      </c>
      <c r="G157" s="8">
        <f t="shared" si="34"/>
        <v>70</v>
      </c>
      <c r="H157" s="8" t="str" cm="1">
        <f t="array" ref="H157">GetColorMatchValue(F157, $F$3:$F$10)</f>
        <v>cj</v>
      </c>
      <c r="I157" s="101" t="str">
        <f t="shared" si="42"/>
        <v>&lt;tr data-section="243"&gt;&lt;td&gt;1 Set of 3 P.Cl. + 3 F.S. + 3 Jr.&lt;/td&gt;&lt;td&gt;60%&lt;/td&gt;&lt;td&gt;${percent(cj, 60)}kg&lt;/td&gt;&lt;/tr&gt;</v>
      </c>
    </row>
    <row r="158" spans="1:9" ht="15" customHeight="1" x14ac:dyDescent="0.25">
      <c r="A158" s="8">
        <v>2</v>
      </c>
      <c r="B158" s="8">
        <v>4</v>
      </c>
      <c r="C158" s="8">
        <v>3</v>
      </c>
      <c r="D158" s="94"/>
      <c r="E158" s="8"/>
      <c r="F158" s="71"/>
      <c r="G158" s="8" t="str">
        <f t="shared" si="34"/>
        <v/>
      </c>
      <c r="H158" s="8" t="str" cm="1">
        <f t="array" ref="H158">GetColorMatchValue(F158, $F$3:$F$10)</f>
        <v/>
      </c>
      <c r="I158" s="96" t="s">
        <v>287</v>
      </c>
    </row>
    <row r="159" spans="1:9" ht="15" customHeight="1" x14ac:dyDescent="0.25">
      <c r="A159" s="8">
        <v>2</v>
      </c>
      <c r="B159" s="8">
        <v>4</v>
      </c>
      <c r="C159" s="8">
        <v>4</v>
      </c>
      <c r="D159" s="93" t="s">
        <v>83</v>
      </c>
      <c r="E159" s="8"/>
      <c r="F159" s="71"/>
      <c r="G159" s="8" t="str">
        <f t="shared" si="34"/>
        <v/>
      </c>
      <c r="H159" s="8" t="str" cm="1">
        <f t="array" ref="H159">GetColorMatchValue(F159, $F$3:$F$10)</f>
        <v/>
      </c>
      <c r="I159" s="99" t="str">
        <f>"&lt;tr&gt;&lt;th colspan=""3""&gt;&lt;label&gt;"&amp;D158&amp;"&lt;input type=""checkbox"" class=""section-toggle"" data-section="""&amp;A158&amp;B158&amp;C158&amp;"""/&gt;&lt;/label&gt;&lt;/th&gt;&lt;/tr&gt;"</f>
        <v>&lt;tr&gt;&lt;th colspan="3"&gt;&lt;label&gt;&lt;input type="checkbox" class="section-toggle" data-section="243"/&gt;&lt;/label&gt;&lt;/th&gt;&lt;/tr&gt;</v>
      </c>
    </row>
    <row r="160" spans="1:9" ht="15" customHeight="1" x14ac:dyDescent="0.25">
      <c r="A160" s="8">
        <v>2</v>
      </c>
      <c r="B160" s="8">
        <v>4</v>
      </c>
      <c r="C160" s="8">
        <v>4</v>
      </c>
      <c r="D160" s="94" t="s">
        <v>202</v>
      </c>
      <c r="E160" s="7">
        <v>0.9</v>
      </c>
      <c r="F160" s="73">
        <f>$E$7*E160</f>
        <v>85.5</v>
      </c>
      <c r="G160" s="8">
        <f t="shared" si="34"/>
        <v>90</v>
      </c>
      <c r="H160" s="8" t="str" cm="1">
        <f t="array" ref="H160">GetColorMatchValue(F160, $F$3:$F$10)</f>
        <v>s</v>
      </c>
      <c r="I160" s="101" t="str">
        <f>"&lt;tr data-section="""&amp;A159&amp;B159&amp;C159&amp;"""&gt;&lt;td&gt;"&amp;D159&amp;"&lt;/td&gt;&lt;td&gt;"&amp;G159&amp;"%&lt;/td&gt;&lt;td&gt;${percent("&amp;H159&amp;", "&amp;G159&amp;")}kg&lt;/td&gt;&lt;/tr&gt;"</f>
        <v>&lt;tr data-section="244"&gt;&lt;td&gt;Snatch Pulls &lt;/td&gt;&lt;td&gt;%&lt;/td&gt;&lt;td&gt;${percent(, )}kg&lt;/td&gt;&lt;/tr&gt;</v>
      </c>
    </row>
    <row r="161" spans="1:15" ht="15" customHeight="1" x14ac:dyDescent="0.25">
      <c r="A161" s="8">
        <v>2</v>
      </c>
      <c r="B161" s="8">
        <v>4</v>
      </c>
      <c r="C161" s="8">
        <v>4</v>
      </c>
      <c r="D161" s="94"/>
      <c r="E161" s="8"/>
      <c r="F161" s="71"/>
      <c r="G161" s="8" t="str">
        <f t="shared" si="34"/>
        <v/>
      </c>
      <c r="H161" s="8" t="str" cm="1">
        <f t="array" ref="H161">GetColorMatchValue(F161, $F$3:$F$10)</f>
        <v/>
      </c>
      <c r="I161" s="96" t="s">
        <v>287</v>
      </c>
    </row>
    <row r="162" spans="1:15" ht="15" customHeight="1" x14ac:dyDescent="0.25">
      <c r="A162" s="8">
        <v>2</v>
      </c>
      <c r="B162" s="8">
        <v>4</v>
      </c>
      <c r="C162" s="8">
        <v>5</v>
      </c>
      <c r="D162" s="93" t="s">
        <v>0</v>
      </c>
      <c r="E162" s="8"/>
      <c r="F162" s="71"/>
      <c r="G162" s="8" t="str">
        <f t="shared" si="34"/>
        <v/>
      </c>
      <c r="H162" s="8" t="str" cm="1">
        <f t="array" ref="H162">GetColorMatchValue(F162, $F$3:$F$10)</f>
        <v/>
      </c>
      <c r="I162" s="99" t="str">
        <f>"&lt;tr&gt;&lt;th colspan=""3""&gt;&lt;label&gt;"&amp;D161&amp;"&lt;input type=""checkbox"" class=""section-toggle"" data-section="""&amp;A161&amp;B161&amp;C161&amp;"""/&gt;&lt;/label&gt;&lt;/th&gt;&lt;/tr&gt;"</f>
        <v>&lt;tr&gt;&lt;th colspan="3"&gt;&lt;label&gt;&lt;input type="checkbox" class="section-toggle" data-section="244"/&gt;&lt;/label&gt;&lt;/th&gt;&lt;/tr&gt;</v>
      </c>
    </row>
    <row r="163" spans="1:15" ht="15" customHeight="1" x14ac:dyDescent="0.25">
      <c r="A163" s="8">
        <v>2</v>
      </c>
      <c r="B163" s="8">
        <v>4</v>
      </c>
      <c r="C163" s="8">
        <v>5</v>
      </c>
      <c r="D163" s="94" t="s">
        <v>220</v>
      </c>
      <c r="E163" s="7">
        <v>0.6</v>
      </c>
      <c r="F163" s="72">
        <f t="shared" ref="F163:F168" si="43">$E$3*E163</f>
        <v>120</v>
      </c>
      <c r="G163" s="8">
        <f t="shared" si="34"/>
        <v>60</v>
      </c>
      <c r="H163" s="8" t="str" cm="1">
        <f t="array" ref="H163">GetColorMatchValue(F163, $F$3:$F$10)</f>
        <v>bs</v>
      </c>
      <c r="I163" s="101" t="str">
        <f t="shared" ref="I163:I168" si="44">"&lt;tr data-section="""&amp;A162&amp;B162&amp;C162&amp;"""&gt;&lt;td&gt;"&amp;D162&amp;"&lt;/td&gt;&lt;td&gt;"&amp;G162&amp;"%&lt;/td&gt;&lt;td&gt;${percent("&amp;H162&amp;", "&amp;G162&amp;")}kg&lt;/td&gt;&lt;/tr&gt;"</f>
        <v>&lt;tr data-section="245"&gt;&lt;td&gt;Back Squat&lt;/td&gt;&lt;td&gt;%&lt;/td&gt;&lt;td&gt;${percent(, )}kg&lt;/td&gt;&lt;/tr&gt;</v>
      </c>
    </row>
    <row r="164" spans="1:15" ht="15" customHeight="1" x14ac:dyDescent="0.25">
      <c r="A164" s="8">
        <v>2</v>
      </c>
      <c r="B164" s="8">
        <v>4</v>
      </c>
      <c r="C164" s="8">
        <v>5</v>
      </c>
      <c r="D164" s="94" t="s">
        <v>220</v>
      </c>
      <c r="E164" s="7">
        <v>0.7</v>
      </c>
      <c r="F164" s="72">
        <f t="shared" si="43"/>
        <v>140</v>
      </c>
      <c r="G164" s="8">
        <f t="shared" si="34"/>
        <v>70</v>
      </c>
      <c r="H164" s="8" t="str" cm="1">
        <f t="array" ref="H164">GetColorMatchValue(F164, $F$3:$F$10)</f>
        <v>bs</v>
      </c>
      <c r="I164" s="101" t="str">
        <f t="shared" si="44"/>
        <v>&lt;tr data-section="245"&gt;&lt;td&gt;1 Set of 4 Reps&lt;/td&gt;&lt;td&gt;60%&lt;/td&gt;&lt;td&gt;${percent(bs, 60)}kg&lt;/td&gt;&lt;/tr&gt;</v>
      </c>
    </row>
    <row r="165" spans="1:15" ht="15" customHeight="1" x14ac:dyDescent="0.25">
      <c r="A165" s="8">
        <v>2</v>
      </c>
      <c r="B165" s="8">
        <v>4</v>
      </c>
      <c r="C165" s="8">
        <v>5</v>
      </c>
      <c r="D165" s="94" t="s">
        <v>220</v>
      </c>
      <c r="E165" s="7">
        <v>0.8</v>
      </c>
      <c r="F165" s="72">
        <f t="shared" si="43"/>
        <v>160</v>
      </c>
      <c r="G165" s="8">
        <f t="shared" si="34"/>
        <v>80</v>
      </c>
      <c r="H165" s="8" t="str" cm="1">
        <f t="array" ref="H165">GetColorMatchValue(F165, $F$3:$F$10)</f>
        <v>bs</v>
      </c>
      <c r="I165" s="101" t="str">
        <f t="shared" si="44"/>
        <v>&lt;tr data-section="245"&gt;&lt;td&gt;1 Set of 4 Reps&lt;/td&gt;&lt;td&gt;70%&lt;/td&gt;&lt;td&gt;${percent(bs, 70)}kg&lt;/td&gt;&lt;/tr&gt;</v>
      </c>
    </row>
    <row r="166" spans="1:15" ht="15" customHeight="1" x14ac:dyDescent="0.25">
      <c r="A166" s="8">
        <v>2</v>
      </c>
      <c r="B166" s="8">
        <v>4</v>
      </c>
      <c r="C166" s="8">
        <v>5</v>
      </c>
      <c r="D166" s="94" t="s">
        <v>213</v>
      </c>
      <c r="E166" s="7">
        <v>0.85</v>
      </c>
      <c r="F166" s="72">
        <f t="shared" si="43"/>
        <v>170</v>
      </c>
      <c r="G166" s="8">
        <f t="shared" si="34"/>
        <v>85</v>
      </c>
      <c r="H166" s="8" t="str" cm="1">
        <f t="array" ref="H166">GetColorMatchValue(F166, $F$3:$F$10)</f>
        <v>bs</v>
      </c>
      <c r="I166" s="101" t="str">
        <f t="shared" si="44"/>
        <v>&lt;tr data-section="245"&gt;&lt;td&gt;1 Set of 4 Reps&lt;/td&gt;&lt;td&gt;80%&lt;/td&gt;&lt;td&gt;${percent(bs, 80)}kg&lt;/td&gt;&lt;/tr&gt;</v>
      </c>
    </row>
    <row r="167" spans="1:15" ht="15" customHeight="1" x14ac:dyDescent="0.25">
      <c r="A167" s="8">
        <v>2</v>
      </c>
      <c r="B167" s="8">
        <v>4</v>
      </c>
      <c r="C167" s="8">
        <v>5</v>
      </c>
      <c r="D167" s="94" t="s">
        <v>220</v>
      </c>
      <c r="E167" s="7">
        <v>0.8</v>
      </c>
      <c r="F167" s="72">
        <f t="shared" si="43"/>
        <v>160</v>
      </c>
      <c r="G167" s="8">
        <f t="shared" si="34"/>
        <v>80</v>
      </c>
      <c r="H167" s="8" t="str" cm="1">
        <f t="array" ref="H167">GetColorMatchValue(F167, $F$3:$F$10)</f>
        <v>bs</v>
      </c>
      <c r="I167" s="101" t="str">
        <f t="shared" si="44"/>
        <v>&lt;tr data-section="245"&gt;&lt;td&gt;1 Set of 3 Reps&lt;/td&gt;&lt;td&gt;85%&lt;/td&gt;&lt;td&gt;${percent(bs, 85)}kg&lt;/td&gt;&lt;/tr&gt;</v>
      </c>
    </row>
    <row r="168" spans="1:15" ht="15" customHeight="1" x14ac:dyDescent="0.25">
      <c r="A168" s="8">
        <v>2</v>
      </c>
      <c r="B168" s="8">
        <v>4</v>
      </c>
      <c r="C168" s="8">
        <v>5</v>
      </c>
      <c r="D168" s="94" t="s">
        <v>236</v>
      </c>
      <c r="E168" s="7">
        <v>0.85</v>
      </c>
      <c r="F168" s="72">
        <f t="shared" si="43"/>
        <v>170</v>
      </c>
      <c r="G168" s="8">
        <f t="shared" si="34"/>
        <v>85</v>
      </c>
      <c r="H168" s="8" t="str" cm="1">
        <f t="array" ref="H168">GetColorMatchValue(F168, $F$3:$F$10)</f>
        <v>bs</v>
      </c>
      <c r="I168" s="101" t="str">
        <f t="shared" si="44"/>
        <v>&lt;tr data-section="245"&gt;&lt;td&gt;1 Set of 4 Reps&lt;/td&gt;&lt;td&gt;80%&lt;/td&gt;&lt;td&gt;${percent(bs, 80)}kg&lt;/td&gt;&lt;/tr&gt;</v>
      </c>
    </row>
    <row r="169" spans="1:15" ht="15" customHeight="1" x14ac:dyDescent="0.25">
      <c r="A169" s="8">
        <v>2</v>
      </c>
      <c r="B169" s="8">
        <v>4</v>
      </c>
      <c r="C169" s="8">
        <v>5</v>
      </c>
      <c r="D169" s="94"/>
      <c r="E169" s="8"/>
      <c r="F169" s="71"/>
      <c r="G169" s="8" t="str">
        <f t="shared" si="34"/>
        <v/>
      </c>
      <c r="H169" s="8" t="str" cm="1">
        <f t="array" ref="H169">GetColorMatchValue(F169, $F$3:$F$10)</f>
        <v/>
      </c>
      <c r="I169" s="96" t="s">
        <v>287</v>
      </c>
    </row>
    <row r="170" spans="1:15" ht="15" customHeight="1" x14ac:dyDescent="0.25">
      <c r="A170" s="8">
        <v>2</v>
      </c>
      <c r="B170" s="8">
        <v>4</v>
      </c>
      <c r="C170" s="8">
        <v>6</v>
      </c>
      <c r="D170" s="93" t="s">
        <v>27</v>
      </c>
      <c r="E170" s="8"/>
      <c r="F170" s="71"/>
      <c r="G170" s="8" t="str">
        <f t="shared" si="34"/>
        <v/>
      </c>
      <c r="H170" s="8" t="str" cm="1">
        <f t="array" ref="H170">GetColorMatchValue(F170, $F$3:$F$10)</f>
        <v/>
      </c>
      <c r="I170" s="99" t="str">
        <f>"&lt;tr&gt;&lt;th colspan=""3""&gt;&lt;label&gt;"&amp;D169&amp;"&lt;input type=""checkbox"" class=""section-toggle"" data-section="""&amp;A169&amp;B169&amp;C169&amp;"""/&gt;&lt;/label&gt;&lt;/th&gt;&lt;/tr&gt;"</f>
        <v>&lt;tr&gt;&lt;th colspan="3"&gt;&lt;label&gt;&lt;input type="checkbox" class="section-toggle" data-section="245"/&gt;&lt;/label&gt;&lt;/th&gt;&lt;/tr&gt;</v>
      </c>
    </row>
    <row r="171" spans="1:15" ht="15" customHeight="1" x14ac:dyDescent="0.25">
      <c r="A171" s="95">
        <v>2</v>
      </c>
      <c r="B171" s="95">
        <v>4</v>
      </c>
      <c r="C171" s="8">
        <v>6</v>
      </c>
      <c r="D171" s="94" t="s">
        <v>196</v>
      </c>
      <c r="E171" s="8" t="s">
        <v>194</v>
      </c>
      <c r="F171" s="71"/>
      <c r="G171" s="8" t="str">
        <f t="shared" si="34"/>
        <v/>
      </c>
      <c r="H171" s="8" t="str" cm="1">
        <f t="array" ref="H171">GetColorMatchValue(F171, $F$3:$F$10)</f>
        <v/>
      </c>
      <c r="I171" s="104" t="str">
        <f>"&lt;tr data-section="""&amp;A170&amp;B170&amp;C170&amp;"""&gt;&lt;td colspan=""3""&gt;"&amp;D170&amp;" "&amp;E170&amp;"&lt;/td&gt;&lt;/tr&gt;"</f>
        <v>&lt;tr data-section="246"&gt;&lt;td colspan="3"&gt;Abdominals &lt;/td&gt;&lt;/tr&gt;</v>
      </c>
    </row>
    <row r="172" spans="1:15" ht="15" customHeight="1" x14ac:dyDescent="0.25">
      <c r="A172" s="8">
        <v>3</v>
      </c>
      <c r="B172" s="8">
        <v>1</v>
      </c>
      <c r="C172" s="8">
        <v>1</v>
      </c>
      <c r="D172" s="93" t="s">
        <v>0</v>
      </c>
      <c r="E172" s="8"/>
      <c r="F172" s="71"/>
      <c r="G172" s="8" t="str">
        <f t="shared" si="34"/>
        <v/>
      </c>
      <c r="H172" s="8" t="str" cm="1">
        <f t="array" ref="H172">GetColorMatchValue(F172, $F$3:$F$10)</f>
        <v/>
      </c>
      <c r="I172" s="99" t="str">
        <f>"&lt;tr&gt;&lt;th colspan=""3""&gt;&lt;label&gt;"&amp;D171&amp;"&lt;input type=""checkbox"" class=""section-toggle"" data-section="""&amp;A171&amp;B171&amp;C171&amp;"""/&gt;&lt;/label&gt;&lt;/th&gt;&lt;/tr&gt;"</f>
        <v>&lt;tr&gt;&lt;th colspan="3"&gt;&lt;label&gt;3 Sets of 25 Reps&lt;input type="checkbox" class="section-toggle" data-section="246"/&gt;&lt;/label&gt;&lt;/th&gt;&lt;/tr&gt;</v>
      </c>
      <c r="K172" s="62"/>
      <c r="L172" s="62"/>
      <c r="N172" s="62"/>
      <c r="O172" s="62"/>
    </row>
    <row r="173" spans="1:15" ht="15" customHeight="1" x14ac:dyDescent="0.25">
      <c r="A173" s="8">
        <v>3</v>
      </c>
      <c r="B173" s="8">
        <v>1</v>
      </c>
      <c r="C173" s="8">
        <v>1</v>
      </c>
      <c r="D173" s="94" t="s">
        <v>213</v>
      </c>
      <c r="E173" s="7">
        <v>0.6</v>
      </c>
      <c r="F173" s="72">
        <f>$E$3*E173</f>
        <v>120</v>
      </c>
      <c r="G173" s="8">
        <f t="shared" si="34"/>
        <v>60</v>
      </c>
      <c r="H173" s="8" t="str" cm="1">
        <f t="array" ref="H173">GetColorMatchValue(F173, $F$3:$F$10)</f>
        <v>bs</v>
      </c>
      <c r="I173" s="101" t="str">
        <f t="shared" ref="I173:I176" si="45">"&lt;tr data-section="""&amp;A172&amp;B172&amp;C172&amp;"""&gt;&lt;td&gt;"&amp;D172&amp;"&lt;/td&gt;&lt;td&gt;"&amp;G172&amp;"%&lt;/td&gt;&lt;td&gt;${percent("&amp;H172&amp;", "&amp;G172&amp;")}kg&lt;/td&gt;&lt;/tr&gt;"</f>
        <v>&lt;tr data-section="311"&gt;&lt;td&gt;Back Squat&lt;/td&gt;&lt;td&gt;%&lt;/td&gt;&lt;td&gt;${percent(, )}kg&lt;/td&gt;&lt;/tr&gt;</v>
      </c>
      <c r="K173" s="62"/>
      <c r="L173" s="62"/>
      <c r="N173" s="62"/>
      <c r="O173" s="62"/>
    </row>
    <row r="174" spans="1:15" ht="15" customHeight="1" x14ac:dyDescent="0.25">
      <c r="A174" s="8">
        <v>3</v>
      </c>
      <c r="B174" s="8">
        <v>1</v>
      </c>
      <c r="C174" s="8">
        <v>1</v>
      </c>
      <c r="D174" s="94" t="s">
        <v>213</v>
      </c>
      <c r="E174" s="7">
        <v>0.7</v>
      </c>
      <c r="F174" s="72">
        <f>$E$3*E174</f>
        <v>140</v>
      </c>
      <c r="G174" s="8">
        <f t="shared" si="34"/>
        <v>70</v>
      </c>
      <c r="H174" s="8" t="str" cm="1">
        <f t="array" ref="H174">GetColorMatchValue(F174, $F$3:$F$10)</f>
        <v>bs</v>
      </c>
      <c r="I174" s="101" t="str">
        <f t="shared" si="45"/>
        <v>&lt;tr data-section="311"&gt;&lt;td&gt;1 Set of 3 Reps&lt;/td&gt;&lt;td&gt;60%&lt;/td&gt;&lt;td&gt;${percent(bs, 60)}kg&lt;/td&gt;&lt;/tr&gt;</v>
      </c>
      <c r="K174" s="62"/>
      <c r="L174" s="62"/>
      <c r="N174" s="62"/>
      <c r="O174" s="62"/>
    </row>
    <row r="175" spans="1:15" ht="15" customHeight="1" x14ac:dyDescent="0.25">
      <c r="A175" s="8">
        <v>3</v>
      </c>
      <c r="B175" s="8">
        <v>1</v>
      </c>
      <c r="C175" s="8">
        <v>1</v>
      </c>
      <c r="D175" s="94" t="s">
        <v>234</v>
      </c>
      <c r="E175" s="7">
        <v>0.8</v>
      </c>
      <c r="F175" s="72">
        <f>$E$3*E175</f>
        <v>160</v>
      </c>
      <c r="G175" s="8">
        <f t="shared" si="34"/>
        <v>80</v>
      </c>
      <c r="H175" s="8" t="str" cm="1">
        <f t="array" ref="H175">GetColorMatchValue(F175, $F$3:$F$10)</f>
        <v>bs</v>
      </c>
      <c r="I175" s="101" t="str">
        <f t="shared" si="45"/>
        <v>&lt;tr data-section="311"&gt;&lt;td&gt;1 Set of 3 Reps&lt;/td&gt;&lt;td&gt;70%&lt;/td&gt;&lt;td&gt;${percent(bs, 70)}kg&lt;/td&gt;&lt;/tr&gt;</v>
      </c>
      <c r="K175" s="62"/>
      <c r="L175" s="62"/>
      <c r="N175" s="62"/>
      <c r="O175" s="62"/>
    </row>
    <row r="176" spans="1:15" ht="15" customHeight="1" x14ac:dyDescent="0.25">
      <c r="A176" s="8">
        <v>3</v>
      </c>
      <c r="B176" s="8">
        <v>1</v>
      </c>
      <c r="C176" s="8">
        <v>1</v>
      </c>
      <c r="D176" s="94" t="s">
        <v>236</v>
      </c>
      <c r="E176" s="7">
        <v>0.85</v>
      </c>
      <c r="F176" s="72">
        <f>$E$3*E176</f>
        <v>170</v>
      </c>
      <c r="G176" s="8">
        <f t="shared" si="34"/>
        <v>85</v>
      </c>
      <c r="H176" s="8" t="str" cm="1">
        <f t="array" ref="H176">GetColorMatchValue(F176, $F$3:$F$10)</f>
        <v>bs</v>
      </c>
      <c r="I176" s="101" t="str">
        <f t="shared" si="45"/>
        <v>&lt;tr data-section="311"&gt;&lt;td&gt;2 Sets of 3 Reps&lt;/td&gt;&lt;td&gt;80%&lt;/td&gt;&lt;td&gt;${percent(bs, 80)}kg&lt;/td&gt;&lt;/tr&gt;</v>
      </c>
      <c r="K176" s="62"/>
      <c r="L176" s="62"/>
      <c r="N176" s="62"/>
      <c r="O176" s="62"/>
    </row>
    <row r="177" spans="1:15" ht="15" customHeight="1" x14ac:dyDescent="0.25">
      <c r="A177" s="8">
        <v>3</v>
      </c>
      <c r="B177" s="8">
        <v>1</v>
      </c>
      <c r="C177" s="8">
        <v>1</v>
      </c>
      <c r="D177" s="94"/>
      <c r="E177" s="8"/>
      <c r="F177" s="71"/>
      <c r="G177" s="8" t="str">
        <f t="shared" si="34"/>
        <v/>
      </c>
      <c r="H177" s="8" t="str" cm="1">
        <f t="array" ref="H177">GetColorMatchValue(F177, $F$3:$F$10)</f>
        <v/>
      </c>
      <c r="I177" s="96" t="s">
        <v>287</v>
      </c>
      <c r="K177" s="62"/>
      <c r="L177" s="62"/>
      <c r="N177" s="62"/>
      <c r="O177" s="62"/>
    </row>
    <row r="178" spans="1:15" ht="15" customHeight="1" x14ac:dyDescent="0.25">
      <c r="A178" s="8">
        <v>3</v>
      </c>
      <c r="B178" s="8">
        <v>1</v>
      </c>
      <c r="C178" s="8">
        <v>2</v>
      </c>
      <c r="D178" s="93" t="s">
        <v>42</v>
      </c>
      <c r="E178" s="8"/>
      <c r="F178" s="71"/>
      <c r="G178" s="8" t="str">
        <f t="shared" si="34"/>
        <v/>
      </c>
      <c r="H178" s="8" t="str" cm="1">
        <f t="array" ref="H178">GetColorMatchValue(F178, $F$3:$F$10)</f>
        <v/>
      </c>
      <c r="I178" s="99" t="str">
        <f>"&lt;tr&gt;&lt;th colspan=""3""&gt;&lt;label&gt;"&amp;D177&amp;"&lt;input type=""checkbox"" class=""section-toggle"" data-section="""&amp;A177&amp;B177&amp;C177&amp;"""/&gt;&lt;/label&gt;&lt;/th&gt;&lt;/tr&gt;"</f>
        <v>&lt;tr&gt;&lt;th colspan="3"&gt;&lt;label&gt;&lt;input type="checkbox" class="section-toggle" data-section="311"/&gt;&lt;/label&gt;&lt;/th&gt;&lt;/tr&gt;</v>
      </c>
      <c r="K178" s="62"/>
      <c r="L178" s="62"/>
      <c r="N178" s="62"/>
      <c r="O178" s="62"/>
    </row>
    <row r="179" spans="1:15" ht="15" customHeight="1" x14ac:dyDescent="0.25">
      <c r="A179" s="8">
        <v>3</v>
      </c>
      <c r="B179" s="8">
        <v>1</v>
      </c>
      <c r="C179" s="8">
        <v>2</v>
      </c>
      <c r="D179" s="94" t="s">
        <v>114</v>
      </c>
      <c r="E179" s="7">
        <v>0.6</v>
      </c>
      <c r="F179" s="73">
        <f t="shared" ref="F179:F184" si="46">$E$7*E179</f>
        <v>57</v>
      </c>
      <c r="G179" s="8">
        <f t="shared" si="34"/>
        <v>60</v>
      </c>
      <c r="H179" s="8" t="str" cm="1">
        <f t="array" ref="H179">GetColorMatchValue(F179, $F$3:$F$10)</f>
        <v>s</v>
      </c>
      <c r="I179" s="101" t="str">
        <f t="shared" ref="I179:I184" si="47">"&lt;tr data-section="""&amp;A178&amp;B178&amp;C178&amp;"""&gt;&lt;td&gt;"&amp;D178&amp;"&lt;/td&gt;&lt;td&gt;"&amp;G178&amp;"%&lt;/td&gt;&lt;td&gt;${percent("&amp;H178&amp;", "&amp;G178&amp;")}kg&lt;/td&gt;&lt;/tr&gt;"</f>
        <v>&lt;tr data-section="312"&gt;&lt;td&gt;Snatch&lt;/td&gt;&lt;td&gt;%&lt;/td&gt;&lt;td&gt;${percent(, )}kg&lt;/td&gt;&lt;/tr&gt;</v>
      </c>
      <c r="K179" s="62"/>
      <c r="L179" s="62"/>
      <c r="N179" s="62"/>
      <c r="O179" s="62"/>
    </row>
    <row r="180" spans="1:15" ht="15" customHeight="1" x14ac:dyDescent="0.25">
      <c r="A180" s="8">
        <v>3</v>
      </c>
      <c r="B180" s="8">
        <v>1</v>
      </c>
      <c r="C180" s="8">
        <v>2</v>
      </c>
      <c r="D180" s="94" t="s">
        <v>213</v>
      </c>
      <c r="E180" s="7">
        <v>0.7</v>
      </c>
      <c r="F180" s="73">
        <f t="shared" si="46"/>
        <v>66.5</v>
      </c>
      <c r="G180" s="8">
        <f t="shared" si="34"/>
        <v>70</v>
      </c>
      <c r="H180" s="8" t="str" cm="1">
        <f t="array" ref="H180">GetColorMatchValue(F180, $F$3:$F$10)</f>
        <v>s</v>
      </c>
      <c r="I180" s="101" t="str">
        <f t="shared" si="47"/>
        <v>&lt;tr data-section="312"&gt;&lt;td&gt;1 Set of 3 Reps &lt;/td&gt;&lt;td&gt;60%&lt;/td&gt;&lt;td&gt;${percent(s, 60)}kg&lt;/td&gt;&lt;/tr&gt;</v>
      </c>
      <c r="K180" s="62"/>
      <c r="L180" s="62"/>
      <c r="N180" s="62"/>
      <c r="O180" s="62"/>
    </row>
    <row r="181" spans="1:15" ht="15" customHeight="1" x14ac:dyDescent="0.25">
      <c r="A181" s="8">
        <v>3</v>
      </c>
      <c r="B181" s="8">
        <v>1</v>
      </c>
      <c r="C181" s="8">
        <v>2</v>
      </c>
      <c r="D181" s="94" t="s">
        <v>213</v>
      </c>
      <c r="E181" s="7">
        <v>0.8</v>
      </c>
      <c r="F181" s="73">
        <f t="shared" si="46"/>
        <v>76</v>
      </c>
      <c r="G181" s="8">
        <f t="shared" si="34"/>
        <v>80</v>
      </c>
      <c r="H181" s="8" t="str" cm="1">
        <f t="array" ref="H181">GetColorMatchValue(F181, $F$3:$F$10)</f>
        <v>s</v>
      </c>
      <c r="I181" s="101" t="str">
        <f t="shared" si="47"/>
        <v>&lt;tr data-section="312"&gt;&lt;td&gt;1 Set of 3 Reps&lt;/td&gt;&lt;td&gt;70%&lt;/td&gt;&lt;td&gt;${percent(s, 70)}kg&lt;/td&gt;&lt;/tr&gt;</v>
      </c>
      <c r="K181" s="62"/>
      <c r="L181" s="62"/>
      <c r="N181" s="62"/>
      <c r="O181" s="62"/>
    </row>
    <row r="182" spans="1:15" ht="15" customHeight="1" x14ac:dyDescent="0.25">
      <c r="A182" s="8">
        <v>3</v>
      </c>
      <c r="B182" s="8">
        <v>1</v>
      </c>
      <c r="C182" s="8">
        <v>2</v>
      </c>
      <c r="D182" s="94" t="s">
        <v>212</v>
      </c>
      <c r="E182" s="7">
        <v>0.85</v>
      </c>
      <c r="F182" s="73">
        <f t="shared" si="46"/>
        <v>80.75</v>
      </c>
      <c r="G182" s="8">
        <f t="shared" si="34"/>
        <v>85</v>
      </c>
      <c r="H182" s="8" t="str" cm="1">
        <f t="array" ref="H182">GetColorMatchValue(F182, $F$3:$F$10)</f>
        <v>s</v>
      </c>
      <c r="I182" s="101" t="str">
        <f t="shared" si="47"/>
        <v>&lt;tr data-section="312"&gt;&lt;td&gt;1 Set of 3 Reps&lt;/td&gt;&lt;td&gt;80%&lt;/td&gt;&lt;td&gt;${percent(s, 80)}kg&lt;/td&gt;&lt;/tr&gt;</v>
      </c>
      <c r="K182" s="62"/>
      <c r="L182" s="62"/>
      <c r="N182" s="62"/>
      <c r="O182" s="62"/>
    </row>
    <row r="183" spans="1:15" ht="15" customHeight="1" x14ac:dyDescent="0.25">
      <c r="A183" s="8">
        <v>3</v>
      </c>
      <c r="B183" s="8">
        <v>1</v>
      </c>
      <c r="C183" s="8">
        <v>2</v>
      </c>
      <c r="D183" s="94" t="s">
        <v>236</v>
      </c>
      <c r="E183" s="7">
        <v>0.8</v>
      </c>
      <c r="F183" s="73">
        <f t="shared" si="46"/>
        <v>76</v>
      </c>
      <c r="G183" s="8">
        <f t="shared" si="34"/>
        <v>80</v>
      </c>
      <c r="H183" s="8" t="str" cm="1">
        <f t="array" ref="H183">GetColorMatchValue(F183, $F$3:$F$10)</f>
        <v>s</v>
      </c>
      <c r="I183" s="101" t="str">
        <f t="shared" si="47"/>
        <v>&lt;tr data-section="312"&gt;&lt;td&gt;1 Set of 1 Rep&lt;/td&gt;&lt;td&gt;85%&lt;/td&gt;&lt;td&gt;${percent(s, 85)}kg&lt;/td&gt;&lt;/tr&gt;</v>
      </c>
      <c r="K183" s="62"/>
      <c r="L183" s="62"/>
      <c r="N183" s="62"/>
      <c r="O183" s="62"/>
    </row>
    <row r="184" spans="1:15" ht="15" customHeight="1" x14ac:dyDescent="0.25">
      <c r="A184" s="8">
        <v>3</v>
      </c>
      <c r="B184" s="8">
        <v>1</v>
      </c>
      <c r="C184" s="8">
        <v>2</v>
      </c>
      <c r="D184" s="94" t="s">
        <v>212</v>
      </c>
      <c r="E184" s="7">
        <v>0.85</v>
      </c>
      <c r="F184" s="73">
        <f t="shared" si="46"/>
        <v>80.75</v>
      </c>
      <c r="G184" s="8">
        <f t="shared" si="34"/>
        <v>85</v>
      </c>
      <c r="H184" s="8" t="str" cm="1">
        <f t="array" ref="H184">GetColorMatchValue(F184, $F$3:$F$10)</f>
        <v>s</v>
      </c>
      <c r="I184" s="101" t="str">
        <f t="shared" si="47"/>
        <v>&lt;tr data-section="312"&gt;&lt;td&gt;1 Set of 2 Reps&lt;/td&gt;&lt;td&gt;80%&lt;/td&gt;&lt;td&gt;${percent(s, 80)}kg&lt;/td&gt;&lt;/tr&gt;</v>
      </c>
      <c r="K184" s="62"/>
      <c r="L184" s="62"/>
      <c r="N184" s="62"/>
      <c r="O184" s="62"/>
    </row>
    <row r="185" spans="1:15" ht="15" customHeight="1" x14ac:dyDescent="0.25">
      <c r="A185" s="8">
        <v>3</v>
      </c>
      <c r="B185" s="8">
        <v>1</v>
      </c>
      <c r="C185" s="8">
        <v>2</v>
      </c>
      <c r="D185" s="94"/>
      <c r="E185" s="8"/>
      <c r="F185" s="71"/>
      <c r="G185" s="8" t="str">
        <f t="shared" si="34"/>
        <v/>
      </c>
      <c r="H185" s="8" t="str" cm="1">
        <f t="array" ref="H185">GetColorMatchValue(F185, $F$3:$F$10)</f>
        <v/>
      </c>
      <c r="I185" s="96" t="s">
        <v>287</v>
      </c>
      <c r="K185" s="62"/>
      <c r="L185" s="62"/>
      <c r="N185" s="62"/>
      <c r="O185" s="62"/>
    </row>
    <row r="186" spans="1:15" ht="15" customHeight="1" x14ac:dyDescent="0.25">
      <c r="A186" s="8">
        <v>3</v>
      </c>
      <c r="B186" s="8">
        <v>1</v>
      </c>
      <c r="C186" s="8">
        <v>3</v>
      </c>
      <c r="D186" s="93" t="s">
        <v>43</v>
      </c>
      <c r="E186" s="8"/>
      <c r="F186" s="71"/>
      <c r="G186" s="8" t="str">
        <f t="shared" si="34"/>
        <v/>
      </c>
      <c r="H186" s="8" t="str" cm="1">
        <f t="array" ref="H186">GetColorMatchValue(F186, $F$3:$F$10)</f>
        <v/>
      </c>
      <c r="I186" s="99" t="str">
        <f>"&lt;tr&gt;&lt;th colspan=""3""&gt;&lt;label&gt;"&amp;D185&amp;"&lt;input type=""checkbox"" class=""section-toggle"" data-section="""&amp;A185&amp;B185&amp;C185&amp;"""/&gt;&lt;/label&gt;&lt;/th&gt;&lt;/tr&gt;"</f>
        <v>&lt;tr&gt;&lt;th colspan="3"&gt;&lt;label&gt;&lt;input type="checkbox" class="section-toggle" data-section="312"/&gt;&lt;/label&gt;&lt;/th&gt;&lt;/tr&gt;</v>
      </c>
      <c r="K186" s="62"/>
      <c r="L186" s="62"/>
      <c r="N186" s="62"/>
      <c r="O186" s="62"/>
    </row>
    <row r="187" spans="1:15" ht="15" customHeight="1" x14ac:dyDescent="0.25">
      <c r="A187" s="8">
        <v>3</v>
      </c>
      <c r="B187" s="8">
        <v>1</v>
      </c>
      <c r="C187" s="8">
        <v>3</v>
      </c>
      <c r="D187" s="94" t="s">
        <v>255</v>
      </c>
      <c r="E187" s="7">
        <v>0.6</v>
      </c>
      <c r="F187" s="77">
        <f t="shared" ref="F187:F192" si="48">$E$8*E187</f>
        <v>69</v>
      </c>
      <c r="G187" s="8">
        <f t="shared" si="34"/>
        <v>60</v>
      </c>
      <c r="H187" s="8" t="str" cm="1">
        <f t="array" ref="H187">GetColorMatchValue(F187, $F$3:$F$10)</f>
        <v>cj</v>
      </c>
      <c r="I187" s="101" t="str">
        <f t="shared" ref="I187:I192" si="49">"&lt;tr data-section="""&amp;A186&amp;B186&amp;C186&amp;"""&gt;&lt;td&gt;"&amp;D186&amp;"&lt;/td&gt;&lt;td&gt;"&amp;G186&amp;"%&lt;/td&gt;&lt;td&gt;${percent("&amp;H186&amp;", "&amp;G186&amp;")}kg&lt;/td&gt;&lt;/tr&gt;"</f>
        <v>&lt;tr data-section="313"&gt;&lt;td&gt;Clean + Jerk&lt;/td&gt;&lt;td&gt;%&lt;/td&gt;&lt;td&gt;${percent(, )}kg&lt;/td&gt;&lt;/tr&gt;</v>
      </c>
      <c r="K187" s="62"/>
      <c r="L187" s="62"/>
      <c r="N187" s="62"/>
      <c r="O187" s="62"/>
    </row>
    <row r="188" spans="1:15" ht="15" customHeight="1" x14ac:dyDescent="0.25">
      <c r="A188" s="8">
        <v>3</v>
      </c>
      <c r="B188" s="8">
        <v>1</v>
      </c>
      <c r="C188" s="8">
        <v>3</v>
      </c>
      <c r="D188" s="94" t="s">
        <v>255</v>
      </c>
      <c r="E188" s="7">
        <v>0.7</v>
      </c>
      <c r="F188" s="77">
        <f t="shared" si="48"/>
        <v>80.5</v>
      </c>
      <c r="G188" s="8">
        <f t="shared" si="34"/>
        <v>70</v>
      </c>
      <c r="H188" s="8" t="str" cm="1">
        <f t="array" ref="H188">GetColorMatchValue(F188, $F$3:$F$10)</f>
        <v>cj</v>
      </c>
      <c r="I188" s="101" t="str">
        <f t="shared" si="49"/>
        <v>&lt;tr data-section="313"&gt;&lt;td&gt;1 Set of 1 Cl. + 3 Jr.&lt;/td&gt;&lt;td&gt;60%&lt;/td&gt;&lt;td&gt;${percent(cj, 60)}kg&lt;/td&gt;&lt;/tr&gt;</v>
      </c>
      <c r="K188" s="62"/>
      <c r="L188" s="62"/>
      <c r="N188" s="62"/>
      <c r="O188" s="62"/>
    </row>
    <row r="189" spans="1:15" ht="15" customHeight="1" x14ac:dyDescent="0.25">
      <c r="A189" s="8">
        <v>3</v>
      </c>
      <c r="B189" s="8">
        <v>1</v>
      </c>
      <c r="C189" s="8">
        <v>3</v>
      </c>
      <c r="D189" s="94" t="s">
        <v>256</v>
      </c>
      <c r="E189" s="7">
        <v>0.8</v>
      </c>
      <c r="F189" s="77">
        <f t="shared" si="48"/>
        <v>92</v>
      </c>
      <c r="G189" s="8">
        <f t="shared" si="34"/>
        <v>80</v>
      </c>
      <c r="H189" s="8" t="str" cm="1">
        <f t="array" ref="H189">GetColorMatchValue(F189, $F$3:$F$10)</f>
        <v>cj</v>
      </c>
      <c r="I189" s="101" t="str">
        <f t="shared" si="49"/>
        <v>&lt;tr data-section="313"&gt;&lt;td&gt;1 Set of 1 Cl. + 3 Jr.&lt;/td&gt;&lt;td&gt;70%&lt;/td&gt;&lt;td&gt;${percent(cj, 70)}kg&lt;/td&gt;&lt;/tr&gt;</v>
      </c>
      <c r="K189" s="62"/>
      <c r="L189" s="62"/>
      <c r="N189" s="62"/>
      <c r="O189" s="62"/>
    </row>
    <row r="190" spans="1:15" ht="15" customHeight="1" x14ac:dyDescent="0.25">
      <c r="A190" s="8">
        <v>3</v>
      </c>
      <c r="B190" s="8">
        <v>1</v>
      </c>
      <c r="C190" s="8">
        <v>3</v>
      </c>
      <c r="D190" s="94" t="s">
        <v>257</v>
      </c>
      <c r="E190" s="7">
        <v>0.85</v>
      </c>
      <c r="F190" s="77">
        <f t="shared" si="48"/>
        <v>97.75</v>
      </c>
      <c r="G190" s="8">
        <f t="shared" si="34"/>
        <v>85</v>
      </c>
      <c r="H190" s="8" t="str" cm="1">
        <f t="array" ref="H190">GetColorMatchValue(F190, $F$3:$F$10)</f>
        <v>cj</v>
      </c>
      <c r="I190" s="101" t="str">
        <f t="shared" si="49"/>
        <v>&lt;tr data-section="313"&gt;&lt;td&gt;1 Set of 1 Cl. + 2 Jr.&lt;/td&gt;&lt;td&gt;80%&lt;/td&gt;&lt;td&gt;${percent(cj, 80)}kg&lt;/td&gt;&lt;/tr&gt;</v>
      </c>
      <c r="K190" s="62"/>
      <c r="L190" s="62"/>
      <c r="N190" s="62"/>
      <c r="O190" s="62"/>
    </row>
    <row r="191" spans="1:15" ht="15" customHeight="1" x14ac:dyDescent="0.25">
      <c r="A191" s="8">
        <v>3</v>
      </c>
      <c r="B191" s="8">
        <v>1</v>
      </c>
      <c r="C191" s="8">
        <v>3</v>
      </c>
      <c r="D191" s="94" t="s">
        <v>256</v>
      </c>
      <c r="E191" s="7">
        <v>0.8</v>
      </c>
      <c r="F191" s="77">
        <f t="shared" si="48"/>
        <v>92</v>
      </c>
      <c r="G191" s="8">
        <f t="shared" si="34"/>
        <v>80</v>
      </c>
      <c r="H191" s="8" t="str" cm="1">
        <f t="array" ref="H191">GetColorMatchValue(F191, $F$3:$F$10)</f>
        <v>cj</v>
      </c>
      <c r="I191" s="101" t="str">
        <f t="shared" si="49"/>
        <v>&lt;tr data-section="313"&gt;&lt;td&gt;1 Set of 1 Cl. + 1 Jr.&lt;/td&gt;&lt;td&gt;85%&lt;/td&gt;&lt;td&gt;${percent(cj, 85)}kg&lt;/td&gt;&lt;/tr&gt;</v>
      </c>
      <c r="K191" s="62"/>
      <c r="L191" s="62"/>
      <c r="N191" s="62"/>
      <c r="O191" s="62"/>
    </row>
    <row r="192" spans="1:15" ht="15" customHeight="1" x14ac:dyDescent="0.25">
      <c r="A192" s="8">
        <v>3</v>
      </c>
      <c r="B192" s="8">
        <v>1</v>
      </c>
      <c r="C192" s="8">
        <v>3</v>
      </c>
      <c r="D192" s="94" t="s">
        <v>257</v>
      </c>
      <c r="E192" s="7">
        <v>0.85</v>
      </c>
      <c r="F192" s="77">
        <f t="shared" si="48"/>
        <v>97.75</v>
      </c>
      <c r="G192" s="8">
        <f t="shared" si="34"/>
        <v>85</v>
      </c>
      <c r="H192" s="8" t="str" cm="1">
        <f t="array" ref="H192">GetColorMatchValue(F192, $F$3:$F$10)</f>
        <v>cj</v>
      </c>
      <c r="I192" s="101" t="str">
        <f t="shared" si="49"/>
        <v>&lt;tr data-section="313"&gt;&lt;td&gt;1 Set of 1 Cl. + 2 Jr.&lt;/td&gt;&lt;td&gt;80%&lt;/td&gt;&lt;td&gt;${percent(cj, 80)}kg&lt;/td&gt;&lt;/tr&gt;</v>
      </c>
      <c r="K192" s="62"/>
      <c r="L192" s="62"/>
      <c r="N192" s="62"/>
      <c r="O192" s="62"/>
    </row>
    <row r="193" spans="1:15" ht="15" customHeight="1" x14ac:dyDescent="0.25">
      <c r="A193" s="8">
        <v>3</v>
      </c>
      <c r="B193" s="8">
        <v>1</v>
      </c>
      <c r="C193" s="8">
        <v>3</v>
      </c>
      <c r="D193" s="94"/>
      <c r="E193" s="8"/>
      <c r="F193" s="71"/>
      <c r="G193" s="8" t="str">
        <f t="shared" si="34"/>
        <v/>
      </c>
      <c r="H193" s="8" t="str" cm="1">
        <f t="array" ref="H193">GetColorMatchValue(F193, $F$3:$F$10)</f>
        <v/>
      </c>
      <c r="I193" s="96" t="s">
        <v>287</v>
      </c>
      <c r="K193" s="62"/>
      <c r="L193" s="62"/>
      <c r="N193" s="62"/>
      <c r="O193" s="62"/>
    </row>
    <row r="194" spans="1:15" ht="15" customHeight="1" x14ac:dyDescent="0.25">
      <c r="A194" s="8">
        <v>3</v>
      </c>
      <c r="B194" s="8">
        <v>1</v>
      </c>
      <c r="C194" s="8">
        <v>4</v>
      </c>
      <c r="D194" s="93" t="s">
        <v>44</v>
      </c>
      <c r="E194" s="8"/>
      <c r="F194" s="71"/>
      <c r="G194" s="8" t="str">
        <f t="shared" si="34"/>
        <v/>
      </c>
      <c r="H194" s="8" t="str" cm="1">
        <f t="array" ref="H194">GetColorMatchValue(F194, $F$3:$F$10)</f>
        <v/>
      </c>
      <c r="I194" s="99" t="str">
        <f>"&lt;tr&gt;&lt;th colspan=""3""&gt;&lt;label&gt;"&amp;D193&amp;"&lt;input type=""checkbox"" class=""section-toggle"" data-section="""&amp;A193&amp;B193&amp;C193&amp;"""/&gt;&lt;/label&gt;&lt;/th&gt;&lt;/tr&gt;"</f>
        <v>&lt;tr&gt;&lt;th colspan="3"&gt;&lt;label&gt;&lt;input type="checkbox" class="section-toggle" data-section="313"/&gt;&lt;/label&gt;&lt;/th&gt;&lt;/tr&gt;</v>
      </c>
      <c r="K194" s="62"/>
      <c r="L194" s="62"/>
      <c r="N194" s="62"/>
      <c r="O194" s="62"/>
    </row>
    <row r="195" spans="1:15" ht="15" customHeight="1" x14ac:dyDescent="0.25">
      <c r="A195" s="8">
        <v>3</v>
      </c>
      <c r="B195" s="8">
        <v>1</v>
      </c>
      <c r="C195" s="8">
        <v>4</v>
      </c>
      <c r="D195" s="94" t="s">
        <v>228</v>
      </c>
      <c r="E195" s="7">
        <v>0.8</v>
      </c>
      <c r="F195" s="75">
        <f t="shared" ref="F195:F196" si="50">$E$6*E195</f>
        <v>88</v>
      </c>
      <c r="G195" s="8">
        <f t="shared" si="34"/>
        <v>80</v>
      </c>
      <c r="H195" s="8" t="str" cm="1">
        <f t="array" ref="H195">GetColorMatchValue(F195, $F$3:$F$10)</f>
        <v>c</v>
      </c>
      <c r="I195" s="101" t="str">
        <f t="shared" ref="I195:I196" si="51">"&lt;tr data-section="""&amp;A194&amp;B194&amp;C194&amp;"""&gt;&lt;td&gt;"&amp;D194&amp;"&lt;/td&gt;&lt;td&gt;"&amp;G194&amp;"%&lt;/td&gt;&lt;td&gt;${percent("&amp;H194&amp;", "&amp;G194&amp;")}kg&lt;/td&gt;&lt;/tr&gt;"</f>
        <v>&lt;tr data-section="314"&gt;&lt;td&gt;Clean Pulls&lt;/td&gt;&lt;td&gt;%&lt;/td&gt;&lt;td&gt;${percent(, )}kg&lt;/td&gt;&lt;/tr&gt;</v>
      </c>
      <c r="K195" s="62"/>
      <c r="L195" s="62"/>
      <c r="N195" s="62"/>
      <c r="O195" s="62"/>
    </row>
    <row r="196" spans="1:15" ht="15" customHeight="1" x14ac:dyDescent="0.25">
      <c r="A196" s="8">
        <v>3</v>
      </c>
      <c r="B196" s="8">
        <v>1</v>
      </c>
      <c r="C196" s="8">
        <v>4</v>
      </c>
      <c r="D196" s="94" t="s">
        <v>200</v>
      </c>
      <c r="E196" s="7">
        <v>0.9</v>
      </c>
      <c r="F196" s="75">
        <f t="shared" si="50"/>
        <v>99</v>
      </c>
      <c r="G196" s="8">
        <f t="shared" ref="G196:G254" si="52">IF(ISNUMBER(E196), E196 * 100, "")</f>
        <v>90</v>
      </c>
      <c r="H196" s="8" t="str" cm="1">
        <f t="array" ref="H196">GetColorMatchValue(F196, $F$3:$F$10)</f>
        <v>c</v>
      </c>
      <c r="I196" s="101" t="str">
        <f t="shared" si="51"/>
        <v>&lt;tr data-section="314"&gt;&lt;td&gt;1 Set of 5 Reps&lt;/td&gt;&lt;td&gt;80%&lt;/td&gt;&lt;td&gt;${percent(c, 80)}kg&lt;/td&gt;&lt;/tr&gt;</v>
      </c>
      <c r="K196" s="62"/>
      <c r="L196" s="62"/>
      <c r="N196" s="62"/>
      <c r="O196" s="62"/>
    </row>
    <row r="197" spans="1:15" ht="15" customHeight="1" x14ac:dyDescent="0.25">
      <c r="A197" s="8">
        <v>3</v>
      </c>
      <c r="B197" s="8">
        <v>1</v>
      </c>
      <c r="C197" s="8">
        <v>4</v>
      </c>
      <c r="D197" s="94"/>
      <c r="E197" s="8"/>
      <c r="F197" s="71"/>
      <c r="G197" s="8" t="str">
        <f t="shared" si="52"/>
        <v/>
      </c>
      <c r="H197" s="8" t="str" cm="1">
        <f t="array" ref="H197">GetColorMatchValue(F197, $F$3:$F$10)</f>
        <v/>
      </c>
      <c r="I197" s="96" t="s">
        <v>287</v>
      </c>
      <c r="K197" s="62"/>
      <c r="L197" s="62"/>
      <c r="N197" s="62"/>
      <c r="O197" s="62"/>
    </row>
    <row r="198" spans="1:15" ht="15" customHeight="1" x14ac:dyDescent="0.25">
      <c r="A198" s="8">
        <v>3</v>
      </c>
      <c r="B198" s="8">
        <v>1</v>
      </c>
      <c r="C198" s="8">
        <v>5</v>
      </c>
      <c r="D198" s="93" t="s">
        <v>45</v>
      </c>
      <c r="E198" s="8"/>
      <c r="F198" s="71"/>
      <c r="G198" s="8" t="str">
        <f t="shared" si="52"/>
        <v/>
      </c>
      <c r="H198" s="8" t="str" cm="1">
        <f t="array" ref="H198">GetColorMatchValue(F198, $F$3:$F$10)</f>
        <v/>
      </c>
      <c r="I198" s="99" t="str">
        <f>"&lt;tr&gt;&lt;th colspan=""3""&gt;&lt;label&gt;"&amp;D197&amp;"&lt;input type=""checkbox"" class=""section-toggle"" data-section="""&amp;A197&amp;B197&amp;C197&amp;"""/&gt;&lt;/label&gt;&lt;/th&gt;&lt;/tr&gt;"</f>
        <v>&lt;tr&gt;&lt;th colspan="3"&gt;&lt;label&gt;&lt;input type="checkbox" class="section-toggle" data-section="314"/&gt;&lt;/label&gt;&lt;/th&gt;&lt;/tr&gt;</v>
      </c>
      <c r="K198" s="62"/>
      <c r="L198" s="62"/>
      <c r="N198" s="62"/>
      <c r="O198" s="62"/>
    </row>
    <row r="199" spans="1:15" ht="15" customHeight="1" x14ac:dyDescent="0.25">
      <c r="A199" s="8">
        <v>3</v>
      </c>
      <c r="B199" s="8">
        <v>1</v>
      </c>
      <c r="C199" s="8">
        <v>5</v>
      </c>
      <c r="D199" s="94" t="s">
        <v>220</v>
      </c>
      <c r="E199" s="7">
        <v>0.6</v>
      </c>
      <c r="F199" s="77">
        <f t="shared" ref="F199:F203" si="53">$E$8*E199</f>
        <v>69</v>
      </c>
      <c r="G199" s="8">
        <f t="shared" si="52"/>
        <v>60</v>
      </c>
      <c r="H199" s="8" t="str" cm="1">
        <f t="array" ref="H199">GetColorMatchValue(F199, $F$3:$F$10)</f>
        <v>cj</v>
      </c>
      <c r="I199" s="101" t="str">
        <f t="shared" ref="I199:I203" si="54">"&lt;tr data-section="""&amp;A198&amp;B198&amp;C198&amp;"""&gt;&lt;td&gt;"&amp;D198&amp;"&lt;/td&gt;&lt;td&gt;"&amp;G198&amp;"%&lt;/td&gt;&lt;td&gt;${percent("&amp;H198&amp;", "&amp;G198&amp;")}kg&lt;/td&gt;&lt;/tr&gt;"</f>
        <v>&lt;tr data-section="315"&gt;&lt;td&gt;Behind the Neck Push Jerk&lt;/td&gt;&lt;td&gt;%&lt;/td&gt;&lt;td&gt;${percent(, )}kg&lt;/td&gt;&lt;/tr&gt;</v>
      </c>
      <c r="K199" s="62"/>
      <c r="L199" s="62"/>
      <c r="N199" s="62"/>
      <c r="O199" s="62"/>
    </row>
    <row r="200" spans="1:15" ht="15" customHeight="1" x14ac:dyDescent="0.25">
      <c r="A200" s="8">
        <v>3</v>
      </c>
      <c r="B200" s="8">
        <v>1</v>
      </c>
      <c r="C200" s="8">
        <v>5</v>
      </c>
      <c r="D200" s="94" t="s">
        <v>220</v>
      </c>
      <c r="E200" s="7">
        <v>0.7</v>
      </c>
      <c r="F200" s="77">
        <f t="shared" si="53"/>
        <v>80.5</v>
      </c>
      <c r="G200" s="8">
        <f t="shared" si="52"/>
        <v>70</v>
      </c>
      <c r="H200" s="8" t="str" cm="1">
        <f t="array" ref="H200">GetColorMatchValue(F200, $F$3:$F$10)</f>
        <v>cj</v>
      </c>
      <c r="I200" s="101" t="str">
        <f t="shared" si="54"/>
        <v>&lt;tr data-section="315"&gt;&lt;td&gt;1 Set of 4 Reps&lt;/td&gt;&lt;td&gt;60%&lt;/td&gt;&lt;td&gt;${percent(cj, 60)}kg&lt;/td&gt;&lt;/tr&gt;</v>
      </c>
      <c r="K200" s="62"/>
      <c r="L200" s="62"/>
      <c r="N200" s="62"/>
      <c r="O200" s="62"/>
    </row>
    <row r="201" spans="1:15" ht="15" customHeight="1" x14ac:dyDescent="0.25">
      <c r="A201" s="8">
        <v>3</v>
      </c>
      <c r="B201" s="8">
        <v>1</v>
      </c>
      <c r="C201" s="8">
        <v>5</v>
      </c>
      <c r="D201" s="94" t="s">
        <v>236</v>
      </c>
      <c r="E201" s="7">
        <v>0.75</v>
      </c>
      <c r="F201" s="77">
        <f t="shared" si="53"/>
        <v>86.25</v>
      </c>
      <c r="G201" s="8">
        <f t="shared" si="52"/>
        <v>75</v>
      </c>
      <c r="H201" s="8" t="str" cm="1">
        <f t="array" ref="H201">GetColorMatchValue(F201, $F$3:$F$10)</f>
        <v>cj</v>
      </c>
      <c r="I201" s="101" t="str">
        <f t="shared" si="54"/>
        <v>&lt;tr data-section="315"&gt;&lt;td&gt;1 Set of 4 Reps&lt;/td&gt;&lt;td&gt;70%&lt;/td&gt;&lt;td&gt;${percent(cj, 70)}kg&lt;/td&gt;&lt;/tr&gt;</v>
      </c>
      <c r="K201" s="62"/>
      <c r="L201" s="62"/>
      <c r="N201" s="62"/>
      <c r="O201" s="62"/>
    </row>
    <row r="202" spans="1:15" ht="15" customHeight="1" x14ac:dyDescent="0.25">
      <c r="A202" s="8">
        <v>3</v>
      </c>
      <c r="B202" s="8">
        <v>1</v>
      </c>
      <c r="C202" s="8">
        <v>5</v>
      </c>
      <c r="D202" s="94" t="s">
        <v>220</v>
      </c>
      <c r="E202" s="7">
        <v>0.6</v>
      </c>
      <c r="F202" s="77">
        <f t="shared" si="53"/>
        <v>69</v>
      </c>
      <c r="G202" s="8">
        <f t="shared" si="52"/>
        <v>60</v>
      </c>
      <c r="H202" s="8" t="str" cm="1">
        <f t="array" ref="H202">GetColorMatchValue(F202, $F$3:$F$10)</f>
        <v>cj</v>
      </c>
      <c r="I202" s="101" t="str">
        <f t="shared" si="54"/>
        <v>&lt;tr data-section="315"&gt;&lt;td&gt;1 Set of 2 Reps&lt;/td&gt;&lt;td&gt;75%&lt;/td&gt;&lt;td&gt;${percent(cj, 75)}kg&lt;/td&gt;&lt;/tr&gt;</v>
      </c>
      <c r="K202" s="62"/>
      <c r="L202" s="62"/>
      <c r="N202" s="62"/>
      <c r="O202" s="62"/>
    </row>
    <row r="203" spans="1:15" ht="15" customHeight="1" x14ac:dyDescent="0.25">
      <c r="A203" s="8">
        <v>3</v>
      </c>
      <c r="B203" s="8">
        <v>1</v>
      </c>
      <c r="C203" s="8">
        <v>5</v>
      </c>
      <c r="D203" s="94" t="s">
        <v>213</v>
      </c>
      <c r="E203" s="7">
        <v>0.7</v>
      </c>
      <c r="F203" s="77">
        <f t="shared" si="53"/>
        <v>80.5</v>
      </c>
      <c r="G203" s="8">
        <f t="shared" si="52"/>
        <v>70</v>
      </c>
      <c r="H203" s="8" t="str" cm="1">
        <f t="array" ref="H203">GetColorMatchValue(F203, $F$3:$F$10)</f>
        <v>cj</v>
      </c>
      <c r="I203" s="101" t="str">
        <f t="shared" si="54"/>
        <v>&lt;tr data-section="315"&gt;&lt;td&gt;1 Set of 4 Reps&lt;/td&gt;&lt;td&gt;60%&lt;/td&gt;&lt;td&gt;${percent(cj, 60)}kg&lt;/td&gt;&lt;/tr&gt;</v>
      </c>
      <c r="K203" s="62"/>
      <c r="L203" s="62"/>
      <c r="N203" s="62"/>
      <c r="O203" s="62"/>
    </row>
    <row r="204" spans="1:15" ht="15" customHeight="1" x14ac:dyDescent="0.25">
      <c r="A204" s="8">
        <v>3</v>
      </c>
      <c r="B204" s="8">
        <v>1</v>
      </c>
      <c r="C204" s="8">
        <v>5</v>
      </c>
      <c r="D204" s="94"/>
      <c r="E204" s="8"/>
      <c r="F204" s="71"/>
      <c r="G204" s="8" t="str">
        <f t="shared" si="52"/>
        <v/>
      </c>
      <c r="H204" s="8" t="str" cm="1">
        <f t="array" ref="H204">GetColorMatchValue(F204, $F$3:$F$10)</f>
        <v/>
      </c>
      <c r="I204" s="96" t="s">
        <v>287</v>
      </c>
      <c r="K204" s="62"/>
      <c r="L204" s="62"/>
      <c r="N204" s="62"/>
      <c r="O204" s="62"/>
    </row>
    <row r="205" spans="1:15" ht="15" customHeight="1" x14ac:dyDescent="0.25">
      <c r="A205" s="8">
        <v>3</v>
      </c>
      <c r="B205" s="8">
        <v>1</v>
      </c>
      <c r="C205" s="8">
        <v>6</v>
      </c>
      <c r="D205" s="93" t="s">
        <v>27</v>
      </c>
      <c r="E205" s="8"/>
      <c r="F205" s="71"/>
      <c r="G205" s="8" t="str">
        <f t="shared" si="52"/>
        <v/>
      </c>
      <c r="H205" s="8" t="str" cm="1">
        <f t="array" ref="H205">GetColorMatchValue(F205, $F$3:$F$10)</f>
        <v/>
      </c>
      <c r="I205" s="99" t="str">
        <f>"&lt;tr&gt;&lt;th colspan=""3""&gt;&lt;label&gt;"&amp;D204&amp;"&lt;input type=""checkbox"" class=""section-toggle"" data-section="""&amp;A204&amp;B204&amp;C204&amp;"""/&gt;&lt;/label&gt;&lt;/th&gt;&lt;/tr&gt;"</f>
        <v>&lt;tr&gt;&lt;th colspan="3"&gt;&lt;label&gt;&lt;input type="checkbox" class="section-toggle" data-section="315"/&gt;&lt;/label&gt;&lt;/th&gt;&lt;/tr&gt;</v>
      </c>
      <c r="K205" s="62"/>
      <c r="L205" s="62"/>
      <c r="N205" s="62"/>
      <c r="O205" s="62"/>
    </row>
    <row r="206" spans="1:15" ht="15" customHeight="1" x14ac:dyDescent="0.25">
      <c r="A206" s="95">
        <v>3</v>
      </c>
      <c r="B206" s="95">
        <v>1</v>
      </c>
      <c r="C206" s="8">
        <v>6</v>
      </c>
      <c r="D206" s="94" t="s">
        <v>195</v>
      </c>
      <c r="E206" s="8" t="s">
        <v>194</v>
      </c>
      <c r="F206" s="71"/>
      <c r="G206" s="8" t="str">
        <f t="shared" si="52"/>
        <v/>
      </c>
      <c r="H206" s="8" t="str" cm="1">
        <f t="array" ref="H206">GetColorMatchValue(F206, $F$3:$F$10)</f>
        <v/>
      </c>
      <c r="I206" s="104" t="str">
        <f>"&lt;tr data-section="""&amp;A205&amp;B205&amp;C205&amp;"""&gt;&lt;td colspan=""3""&gt;"&amp;D205&amp;" "&amp;E205&amp;"&lt;/td&gt;&lt;/tr&gt;"</f>
        <v>&lt;tr data-section="316"&gt;&lt;td colspan="3"&gt;Abdominals &lt;/td&gt;&lt;/tr&gt;</v>
      </c>
      <c r="K206" s="62"/>
      <c r="L206" s="62"/>
      <c r="N206" s="62"/>
      <c r="O206" s="62"/>
    </row>
    <row r="207" spans="1:15" ht="15" customHeight="1" x14ac:dyDescent="0.25">
      <c r="A207" s="8">
        <v>3</v>
      </c>
      <c r="B207" s="8">
        <v>2</v>
      </c>
      <c r="C207" s="8">
        <v>1</v>
      </c>
      <c r="D207" s="93" t="s">
        <v>1</v>
      </c>
      <c r="E207" s="8"/>
      <c r="F207" s="71"/>
      <c r="G207" s="8" t="str">
        <f t="shared" si="52"/>
        <v/>
      </c>
      <c r="H207" s="8" t="str" cm="1">
        <f t="array" ref="H207">GetColorMatchValue(F207, $F$3:$F$10)</f>
        <v/>
      </c>
      <c r="I207" s="99" t="str">
        <f>"&lt;tr&gt;&lt;th colspan=""3""&gt;&lt;label&gt;"&amp;D206&amp;"&lt;input type=""checkbox"" class=""section-toggle"" data-section="""&amp;A206&amp;B206&amp;C206&amp;"""/&gt;&lt;/label&gt;&lt;/th&gt;&lt;/tr&gt;"</f>
        <v>&lt;tr&gt;&lt;th colspan="3"&gt;&lt;label&gt;4 Sets of 20 Reps&lt;input type="checkbox" class="section-toggle" data-section="316"/&gt;&lt;/label&gt;&lt;/th&gt;&lt;/tr&gt;</v>
      </c>
      <c r="K207" s="62"/>
      <c r="L207" s="62"/>
    </row>
    <row r="208" spans="1:15" ht="15" customHeight="1" x14ac:dyDescent="0.25">
      <c r="A208" s="8">
        <v>3</v>
      </c>
      <c r="B208" s="8">
        <v>2</v>
      </c>
      <c r="C208" s="8">
        <v>1</v>
      </c>
      <c r="D208" s="94" t="s">
        <v>213</v>
      </c>
      <c r="E208" s="7">
        <v>0.6</v>
      </c>
      <c r="F208" s="73">
        <f t="shared" ref="F208:F213" si="55">$E$7*E208</f>
        <v>57</v>
      </c>
      <c r="G208" s="8">
        <f t="shared" si="52"/>
        <v>60</v>
      </c>
      <c r="H208" s="8" t="str" cm="1">
        <f t="array" ref="H208">GetColorMatchValue(F208, $F$3:$F$10)</f>
        <v>s</v>
      </c>
      <c r="I208" s="101" t="str">
        <f t="shared" ref="I208:I213" si="56">"&lt;tr data-section="""&amp;A207&amp;B207&amp;C207&amp;"""&gt;&lt;td&gt;"&amp;D207&amp;"&lt;/td&gt;&lt;td&gt;"&amp;G207&amp;"%&lt;/td&gt;&lt;td&gt;${percent("&amp;H207&amp;", "&amp;G207&amp;")}kg&lt;/td&gt;&lt;/tr&gt;"</f>
        <v>&lt;tr data-section="321"&gt;&lt;td&gt;Power Snatch&lt;/td&gt;&lt;td&gt;%&lt;/td&gt;&lt;td&gt;${percent(, )}kg&lt;/td&gt;&lt;/tr&gt;</v>
      </c>
      <c r="K208" s="62"/>
      <c r="L208" s="62"/>
    </row>
    <row r="209" spans="1:12" ht="15" customHeight="1" x14ac:dyDescent="0.25">
      <c r="A209" s="8">
        <v>3</v>
      </c>
      <c r="B209" s="8">
        <v>2</v>
      </c>
      <c r="C209" s="8">
        <v>1</v>
      </c>
      <c r="D209" s="94" t="s">
        <v>213</v>
      </c>
      <c r="E209" s="7">
        <v>0.7</v>
      </c>
      <c r="F209" s="73">
        <f t="shared" si="55"/>
        <v>66.5</v>
      </c>
      <c r="G209" s="8">
        <f t="shared" si="52"/>
        <v>70</v>
      </c>
      <c r="H209" s="8" t="str" cm="1">
        <f t="array" ref="H209">GetColorMatchValue(F209, $F$3:$F$10)</f>
        <v>s</v>
      </c>
      <c r="I209" s="101" t="str">
        <f t="shared" si="56"/>
        <v>&lt;tr data-section="321"&gt;&lt;td&gt;1 Set of 3 Reps&lt;/td&gt;&lt;td&gt;60%&lt;/td&gt;&lt;td&gt;${percent(s, 60)}kg&lt;/td&gt;&lt;/tr&gt;</v>
      </c>
      <c r="K209" s="62"/>
      <c r="L209" s="62"/>
    </row>
    <row r="210" spans="1:12" ht="15" customHeight="1" x14ac:dyDescent="0.25">
      <c r="A210" s="8">
        <v>3</v>
      </c>
      <c r="B210" s="8">
        <v>2</v>
      </c>
      <c r="C210" s="8">
        <v>1</v>
      </c>
      <c r="D210" s="94" t="s">
        <v>212</v>
      </c>
      <c r="E210" s="7">
        <v>0.75</v>
      </c>
      <c r="F210" s="73">
        <f t="shared" si="55"/>
        <v>71.25</v>
      </c>
      <c r="G210" s="8">
        <f t="shared" si="52"/>
        <v>75</v>
      </c>
      <c r="H210" s="8" t="str" cm="1">
        <f t="array" ref="H210">GetColorMatchValue(F210, $F$3:$F$10)</f>
        <v>s</v>
      </c>
      <c r="I210" s="101" t="str">
        <f t="shared" si="56"/>
        <v>&lt;tr data-section="321"&gt;&lt;td&gt;1 Set of 3 Reps&lt;/td&gt;&lt;td&gt;70%&lt;/td&gt;&lt;td&gt;${percent(s, 70)}kg&lt;/td&gt;&lt;/tr&gt;</v>
      </c>
      <c r="K210" s="62"/>
      <c r="L210" s="62"/>
    </row>
    <row r="211" spans="1:12" ht="15" customHeight="1" x14ac:dyDescent="0.25">
      <c r="A211" s="8">
        <v>3</v>
      </c>
      <c r="B211" s="8">
        <v>2</v>
      </c>
      <c r="C211" s="8">
        <v>1</v>
      </c>
      <c r="D211" s="94" t="s">
        <v>213</v>
      </c>
      <c r="E211" s="7">
        <v>0.6</v>
      </c>
      <c r="F211" s="73">
        <f t="shared" si="55"/>
        <v>57</v>
      </c>
      <c r="G211" s="8">
        <f t="shared" si="52"/>
        <v>60</v>
      </c>
      <c r="H211" s="8" t="str" cm="1">
        <f t="array" ref="H211">GetColorMatchValue(F211, $F$3:$F$10)</f>
        <v>s</v>
      </c>
      <c r="I211" s="101" t="str">
        <f t="shared" si="56"/>
        <v>&lt;tr data-section="321"&gt;&lt;td&gt;1 Set of 1 Rep&lt;/td&gt;&lt;td&gt;75%&lt;/td&gt;&lt;td&gt;${percent(s, 75)}kg&lt;/td&gt;&lt;/tr&gt;</v>
      </c>
      <c r="K211" s="62"/>
      <c r="L211" s="62"/>
    </row>
    <row r="212" spans="1:12" ht="15" customHeight="1" x14ac:dyDescent="0.25">
      <c r="A212" s="8">
        <v>3</v>
      </c>
      <c r="B212" s="8">
        <v>2</v>
      </c>
      <c r="C212" s="8">
        <v>1</v>
      </c>
      <c r="D212" s="94" t="s">
        <v>236</v>
      </c>
      <c r="E212" s="7">
        <v>0.65</v>
      </c>
      <c r="F212" s="73">
        <f t="shared" si="55"/>
        <v>61.75</v>
      </c>
      <c r="G212" s="8">
        <f t="shared" si="52"/>
        <v>65</v>
      </c>
      <c r="H212" s="8" t="str" cm="1">
        <f t="array" ref="H212">GetColorMatchValue(F212, $F$3:$F$10)</f>
        <v>s</v>
      </c>
      <c r="I212" s="101" t="str">
        <f t="shared" si="56"/>
        <v>&lt;tr data-section="321"&gt;&lt;td&gt;1 Set of 3 Reps&lt;/td&gt;&lt;td&gt;60%&lt;/td&gt;&lt;td&gt;${percent(s, 60)}kg&lt;/td&gt;&lt;/tr&gt;</v>
      </c>
      <c r="K212" s="62"/>
      <c r="L212" s="62"/>
    </row>
    <row r="213" spans="1:12" ht="15" customHeight="1" x14ac:dyDescent="0.25">
      <c r="A213" s="8">
        <v>3</v>
      </c>
      <c r="B213" s="8">
        <v>2</v>
      </c>
      <c r="C213" s="8">
        <v>1</v>
      </c>
      <c r="D213" s="94" t="s">
        <v>236</v>
      </c>
      <c r="E213" s="7">
        <v>0.7</v>
      </c>
      <c r="F213" s="73">
        <f t="shared" si="55"/>
        <v>66.5</v>
      </c>
      <c r="G213" s="8">
        <f t="shared" si="52"/>
        <v>70</v>
      </c>
      <c r="H213" s="8" t="str" cm="1">
        <f t="array" ref="H213">GetColorMatchValue(F213, $F$3:$F$10)</f>
        <v>s</v>
      </c>
      <c r="I213" s="101" t="str">
        <f t="shared" si="56"/>
        <v>&lt;tr data-section="321"&gt;&lt;td&gt;1 Set of 2 Reps&lt;/td&gt;&lt;td&gt;65%&lt;/td&gt;&lt;td&gt;${percent(s, 65)}kg&lt;/td&gt;&lt;/tr&gt;</v>
      </c>
      <c r="K213" s="62"/>
      <c r="L213" s="62"/>
    </row>
    <row r="214" spans="1:12" ht="15" customHeight="1" x14ac:dyDescent="0.25">
      <c r="A214" s="8">
        <v>3</v>
      </c>
      <c r="B214" s="8">
        <v>2</v>
      </c>
      <c r="C214" s="8">
        <v>1</v>
      </c>
      <c r="D214" s="94"/>
      <c r="E214" s="8"/>
      <c r="F214" s="71"/>
      <c r="G214" s="8" t="str">
        <f t="shared" si="52"/>
        <v/>
      </c>
      <c r="H214" s="8" t="str" cm="1">
        <f t="array" ref="H214">GetColorMatchValue(F214, $F$3:$F$10)</f>
        <v/>
      </c>
      <c r="I214" s="96" t="s">
        <v>287</v>
      </c>
      <c r="K214" s="62"/>
      <c r="L214" s="62"/>
    </row>
    <row r="215" spans="1:12" ht="15" customHeight="1" x14ac:dyDescent="0.25">
      <c r="A215" s="8">
        <v>3</v>
      </c>
      <c r="B215" s="8">
        <v>2</v>
      </c>
      <c r="C215" s="8">
        <v>2</v>
      </c>
      <c r="D215" s="93" t="s">
        <v>30</v>
      </c>
      <c r="E215" s="8"/>
      <c r="F215" s="71"/>
      <c r="G215" s="8" t="str">
        <f t="shared" si="52"/>
        <v/>
      </c>
      <c r="H215" s="8" t="str" cm="1">
        <f t="array" ref="H215">GetColorMatchValue(F215, $F$3:$F$10)</f>
        <v/>
      </c>
      <c r="I215" s="99" t="str">
        <f>"&lt;tr&gt;&lt;th colspan=""3""&gt;&lt;label&gt;"&amp;D214&amp;"&lt;input type=""checkbox"" class=""section-toggle"" data-section="""&amp;A214&amp;B214&amp;C214&amp;"""/&gt;&lt;/label&gt;&lt;/th&gt;&lt;/tr&gt;"</f>
        <v>&lt;tr&gt;&lt;th colspan="3"&gt;&lt;label&gt;&lt;input type="checkbox" class="section-toggle" data-section="321"/&gt;&lt;/label&gt;&lt;/th&gt;&lt;/tr&gt;</v>
      </c>
      <c r="K215" s="62"/>
      <c r="L215" s="62"/>
    </row>
    <row r="216" spans="1:12" ht="15" customHeight="1" x14ac:dyDescent="0.25">
      <c r="A216" s="8">
        <v>3</v>
      </c>
      <c r="B216" s="8">
        <v>2</v>
      </c>
      <c r="C216" s="8">
        <v>2</v>
      </c>
      <c r="D216" s="94" t="s">
        <v>259</v>
      </c>
      <c r="E216" s="7">
        <v>0.6</v>
      </c>
      <c r="F216" s="77">
        <f t="shared" ref="F216:F220" si="57">$E$8*E216</f>
        <v>69</v>
      </c>
      <c r="G216" s="8">
        <f t="shared" si="52"/>
        <v>60</v>
      </c>
      <c r="H216" s="8" t="str" cm="1">
        <f t="array" ref="H216">GetColorMatchValue(F216, $F$3:$F$10)</f>
        <v>cj</v>
      </c>
      <c r="I216" s="101" t="str">
        <f t="shared" ref="I216:I220" si="58">"&lt;tr data-section="""&amp;A215&amp;B215&amp;C215&amp;"""&gt;&lt;td&gt;"&amp;D215&amp;"&lt;/td&gt;&lt;td&gt;"&amp;G215&amp;"%&lt;/td&gt;&lt;td&gt;${percent("&amp;H215&amp;", "&amp;G215&amp;")}kg&lt;/td&gt;&lt;/tr&gt;"</f>
        <v>&lt;tr data-section="322"&gt;&lt;td&gt;Power Clean + Push Jerk&lt;/td&gt;&lt;td&gt;%&lt;/td&gt;&lt;td&gt;${percent(, )}kg&lt;/td&gt;&lt;/tr&gt;</v>
      </c>
      <c r="K216" s="62"/>
      <c r="L216" s="62"/>
    </row>
    <row r="217" spans="1:12" ht="15" customHeight="1" x14ac:dyDescent="0.25">
      <c r="A217" s="8">
        <v>3</v>
      </c>
      <c r="B217" s="8">
        <v>2</v>
      </c>
      <c r="C217" s="8">
        <v>2</v>
      </c>
      <c r="D217" s="94" t="s">
        <v>259</v>
      </c>
      <c r="E217" s="7">
        <v>0.7</v>
      </c>
      <c r="F217" s="77">
        <f t="shared" si="57"/>
        <v>80.5</v>
      </c>
      <c r="G217" s="8">
        <f t="shared" si="52"/>
        <v>70</v>
      </c>
      <c r="H217" s="8" t="str" cm="1">
        <f t="array" ref="H217">GetColorMatchValue(F217, $F$3:$F$10)</f>
        <v>cj</v>
      </c>
      <c r="I217" s="101" t="str">
        <f t="shared" si="58"/>
        <v>&lt;tr data-section="322"&gt;&lt;td&gt;1 Set of 3 P.Cl. + 1 P.Jr.&lt;/td&gt;&lt;td&gt;60%&lt;/td&gt;&lt;td&gt;${percent(cj, 60)}kg&lt;/td&gt;&lt;/tr&gt;</v>
      </c>
      <c r="K217" s="62"/>
      <c r="L217" s="62"/>
    </row>
    <row r="218" spans="1:12" ht="15" customHeight="1" x14ac:dyDescent="0.25">
      <c r="A218" s="8">
        <v>3</v>
      </c>
      <c r="B218" s="8">
        <v>2</v>
      </c>
      <c r="C218" s="8">
        <v>2</v>
      </c>
      <c r="D218" s="94" t="s">
        <v>269</v>
      </c>
      <c r="E218" s="7">
        <v>0.75</v>
      </c>
      <c r="F218" s="77">
        <f t="shared" si="57"/>
        <v>86.25</v>
      </c>
      <c r="G218" s="8">
        <f t="shared" si="52"/>
        <v>75</v>
      </c>
      <c r="H218" s="8" t="str" cm="1">
        <f t="array" ref="H218">GetColorMatchValue(F218, $F$3:$F$10)</f>
        <v>cj</v>
      </c>
      <c r="I218" s="101" t="str">
        <f t="shared" si="58"/>
        <v>&lt;tr data-section="322"&gt;&lt;td&gt;1 Set of 3 P.Cl. + 1 P.Jr.&lt;/td&gt;&lt;td&gt;70%&lt;/td&gt;&lt;td&gt;${percent(cj, 70)}kg&lt;/td&gt;&lt;/tr&gt;</v>
      </c>
      <c r="K218" s="62"/>
      <c r="L218" s="62"/>
    </row>
    <row r="219" spans="1:12" ht="15" customHeight="1" x14ac:dyDescent="0.25">
      <c r="A219" s="8">
        <v>3</v>
      </c>
      <c r="B219" s="8">
        <v>2</v>
      </c>
      <c r="C219" s="8">
        <v>2</v>
      </c>
      <c r="D219" s="94" t="s">
        <v>259</v>
      </c>
      <c r="E219" s="7">
        <v>0.6</v>
      </c>
      <c r="F219" s="77">
        <f t="shared" si="57"/>
        <v>69</v>
      </c>
      <c r="G219" s="8">
        <f t="shared" si="52"/>
        <v>60</v>
      </c>
      <c r="H219" s="8" t="str" cm="1">
        <f t="array" ref="H219">GetColorMatchValue(F219, $F$3:$F$10)</f>
        <v>cj</v>
      </c>
      <c r="I219" s="101" t="str">
        <f t="shared" si="58"/>
        <v>&lt;tr data-section="322"&gt;&lt;td&gt;1 Set of 1 P.Cl. + 1 P.Jr.&lt;/td&gt;&lt;td&gt;75%&lt;/td&gt;&lt;td&gt;${percent(cj, 75)}kg&lt;/td&gt;&lt;/tr&gt;</v>
      </c>
      <c r="K219" s="62"/>
      <c r="L219" s="62"/>
    </row>
    <row r="220" spans="1:12" ht="15" customHeight="1" x14ac:dyDescent="0.25">
      <c r="A220" s="8">
        <v>3</v>
      </c>
      <c r="B220" s="8">
        <v>2</v>
      </c>
      <c r="C220" s="8">
        <v>2</v>
      </c>
      <c r="D220" s="94" t="s">
        <v>259</v>
      </c>
      <c r="E220" s="7">
        <v>0.7</v>
      </c>
      <c r="F220" s="77">
        <f t="shared" si="57"/>
        <v>80.5</v>
      </c>
      <c r="G220" s="8">
        <f t="shared" si="52"/>
        <v>70</v>
      </c>
      <c r="H220" s="8" t="str" cm="1">
        <f t="array" ref="H220">GetColorMatchValue(F220, $F$3:$F$10)</f>
        <v>cj</v>
      </c>
      <c r="I220" s="101" t="str">
        <f t="shared" si="58"/>
        <v>&lt;tr data-section="322"&gt;&lt;td&gt;1 Set of 3 P.Cl. + 1 P.Jr.&lt;/td&gt;&lt;td&gt;60%&lt;/td&gt;&lt;td&gt;${percent(cj, 60)}kg&lt;/td&gt;&lt;/tr&gt;</v>
      </c>
      <c r="K220" s="62"/>
      <c r="L220" s="62"/>
    </row>
    <row r="221" spans="1:12" ht="15" customHeight="1" x14ac:dyDescent="0.25">
      <c r="A221" s="8">
        <v>3</v>
      </c>
      <c r="B221" s="8">
        <v>2</v>
      </c>
      <c r="C221" s="8">
        <v>2</v>
      </c>
      <c r="D221" s="94"/>
      <c r="E221" s="8"/>
      <c r="F221" s="71"/>
      <c r="G221" s="8" t="str">
        <f t="shared" si="52"/>
        <v/>
      </c>
      <c r="H221" s="8" t="str" cm="1">
        <f t="array" ref="H221">GetColorMatchValue(F221, $F$3:$F$10)</f>
        <v/>
      </c>
      <c r="I221" s="96" t="s">
        <v>287</v>
      </c>
      <c r="K221" s="62"/>
      <c r="L221" s="62"/>
    </row>
    <row r="222" spans="1:12" ht="15" customHeight="1" x14ac:dyDescent="0.25">
      <c r="A222" s="8">
        <v>3</v>
      </c>
      <c r="B222" s="8">
        <v>2</v>
      </c>
      <c r="C222" s="8">
        <v>3</v>
      </c>
      <c r="D222" s="93" t="s">
        <v>31</v>
      </c>
      <c r="E222" s="8"/>
      <c r="F222" s="71"/>
      <c r="G222" s="8" t="str">
        <f t="shared" si="52"/>
        <v/>
      </c>
      <c r="H222" s="8" t="str" cm="1">
        <f t="array" ref="H222">GetColorMatchValue(F222, $F$3:$F$10)</f>
        <v/>
      </c>
      <c r="I222" s="99" t="str">
        <f>"&lt;tr&gt;&lt;th colspan=""3""&gt;&lt;label&gt;"&amp;D221&amp;"&lt;input type=""checkbox"" class=""section-toggle"" data-section="""&amp;A221&amp;B221&amp;C221&amp;"""/&gt;&lt;/label&gt;&lt;/th&gt;&lt;/tr&gt;"</f>
        <v>&lt;tr&gt;&lt;th colspan="3"&gt;&lt;label&gt;&lt;input type="checkbox" class="section-toggle" data-section="322"/&gt;&lt;/label&gt;&lt;/th&gt;&lt;/tr&gt;</v>
      </c>
      <c r="K222" s="62"/>
      <c r="L222" s="62"/>
    </row>
    <row r="223" spans="1:12" ht="15" customHeight="1" x14ac:dyDescent="0.25">
      <c r="A223" s="8">
        <v>3</v>
      </c>
      <c r="B223" s="8">
        <v>2</v>
      </c>
      <c r="C223" s="8">
        <v>3</v>
      </c>
      <c r="D223" s="94" t="s">
        <v>228</v>
      </c>
      <c r="E223" s="7">
        <v>0.8</v>
      </c>
      <c r="F223" s="78">
        <f t="shared" ref="F223:F225" si="59">$E$9*E223</f>
        <v>160</v>
      </c>
      <c r="G223" s="8">
        <f t="shared" si="52"/>
        <v>80</v>
      </c>
      <c r="H223" s="8" t="str" cm="1">
        <f t="array" ref="H223">GetColorMatchValue(F223, $F$3:$F$10)</f>
        <v>d</v>
      </c>
      <c r="I223" s="101" t="str">
        <f t="shared" ref="I223:I225" si="60">"&lt;tr data-section="""&amp;A222&amp;B222&amp;C222&amp;"""&gt;&lt;td&gt;"&amp;D222&amp;"&lt;/td&gt;&lt;td&gt;"&amp;G222&amp;"%&lt;/td&gt;&lt;td&gt;${percent("&amp;H222&amp;", "&amp;G222&amp;")}kg&lt;/td&gt;&lt;/tr&gt;"</f>
        <v>&lt;tr data-section="323"&gt;&lt;td&gt;RDL&lt;/td&gt;&lt;td&gt;%&lt;/td&gt;&lt;td&gt;${percent(, )}kg&lt;/td&gt;&lt;/tr&gt;</v>
      </c>
      <c r="K223" s="62"/>
      <c r="L223" s="62"/>
    </row>
    <row r="224" spans="1:12" ht="15" customHeight="1" x14ac:dyDescent="0.25">
      <c r="A224" s="8">
        <v>3</v>
      </c>
      <c r="B224" s="8">
        <v>2</v>
      </c>
      <c r="C224" s="8">
        <v>3</v>
      </c>
      <c r="D224" s="94" t="s">
        <v>235</v>
      </c>
      <c r="E224" s="7">
        <v>0.9</v>
      </c>
      <c r="F224" s="78">
        <f t="shared" si="59"/>
        <v>180</v>
      </c>
      <c r="G224" s="8">
        <f t="shared" si="52"/>
        <v>90</v>
      </c>
      <c r="H224" s="8" t="str" cm="1">
        <f t="array" ref="H224">GetColorMatchValue(F224, $F$3:$F$10)</f>
        <v>d</v>
      </c>
      <c r="I224" s="101" t="str">
        <f t="shared" si="60"/>
        <v>&lt;tr data-section="323"&gt;&lt;td&gt;1 Set of 5 Reps&lt;/td&gt;&lt;td&gt;80%&lt;/td&gt;&lt;td&gt;${percent(d, 80)}kg&lt;/td&gt;&lt;/tr&gt;</v>
      </c>
      <c r="K224" s="62"/>
      <c r="L224" s="62"/>
    </row>
    <row r="225" spans="1:15" ht="15" customHeight="1" x14ac:dyDescent="0.25">
      <c r="A225" s="8">
        <v>3</v>
      </c>
      <c r="B225" s="8">
        <v>2</v>
      </c>
      <c r="C225" s="8">
        <v>3</v>
      </c>
      <c r="D225" s="94" t="s">
        <v>239</v>
      </c>
      <c r="E225" s="7">
        <v>1</v>
      </c>
      <c r="F225" s="78">
        <f t="shared" si="59"/>
        <v>200</v>
      </c>
      <c r="G225" s="8">
        <f t="shared" si="52"/>
        <v>100</v>
      </c>
      <c r="H225" s="8" t="str" cm="1">
        <f t="array" ref="H225">GetColorMatchValue(F225, $F$3:$F$10)</f>
        <v>d</v>
      </c>
      <c r="I225" s="101" t="str">
        <f t="shared" si="60"/>
        <v>&lt;tr data-section="323"&gt;&lt;td&gt;3 Sets of 4 Reps&lt;/td&gt;&lt;td&gt;90%&lt;/td&gt;&lt;td&gt;${percent(d, 90)}kg&lt;/td&gt;&lt;/tr&gt;</v>
      </c>
      <c r="K225" s="62"/>
      <c r="L225" s="62"/>
    </row>
    <row r="226" spans="1:15" ht="15" customHeight="1" x14ac:dyDescent="0.25">
      <c r="A226" s="8">
        <v>3</v>
      </c>
      <c r="B226" s="8">
        <v>2</v>
      </c>
      <c r="C226" s="8">
        <v>3</v>
      </c>
      <c r="D226" s="94"/>
      <c r="E226" s="8"/>
      <c r="F226" s="71"/>
      <c r="G226" s="8" t="str">
        <f t="shared" si="52"/>
        <v/>
      </c>
      <c r="H226" s="8" t="str" cm="1">
        <f t="array" ref="H226">GetColorMatchValue(F226, $F$3:$F$10)</f>
        <v/>
      </c>
      <c r="I226" s="96" t="s">
        <v>287</v>
      </c>
      <c r="K226" s="62"/>
      <c r="L226" s="62"/>
    </row>
    <row r="227" spans="1:15" ht="15" customHeight="1" x14ac:dyDescent="0.25">
      <c r="A227" s="8">
        <v>3</v>
      </c>
      <c r="B227" s="8">
        <v>2</v>
      </c>
      <c r="C227" s="8">
        <v>4</v>
      </c>
      <c r="D227" s="93" t="s">
        <v>34</v>
      </c>
      <c r="E227" s="8"/>
      <c r="F227" s="71"/>
      <c r="G227" s="8" t="str">
        <f t="shared" si="52"/>
        <v/>
      </c>
      <c r="H227" s="8" t="str" cm="1">
        <f t="array" ref="H227">GetColorMatchValue(F227, $F$3:$F$10)</f>
        <v/>
      </c>
      <c r="I227" s="99" t="str">
        <f>"&lt;tr&gt;&lt;th colspan=""3""&gt;&lt;label&gt;"&amp;D226&amp;"&lt;input type=""checkbox"" class=""section-toggle"" data-section="""&amp;A226&amp;B226&amp;C226&amp;"""/&gt;&lt;/label&gt;&lt;/th&gt;&lt;/tr&gt;"</f>
        <v>&lt;tr&gt;&lt;th colspan="3"&gt;&lt;label&gt;&lt;input type="checkbox" class="section-toggle" data-section="323"/&gt;&lt;/label&gt;&lt;/th&gt;&lt;/tr&gt;</v>
      </c>
      <c r="K227" s="62"/>
      <c r="L227" s="62"/>
      <c r="O227" s="45"/>
    </row>
    <row r="228" spans="1:15" s="13" customFormat="1" ht="15" customHeight="1" x14ac:dyDescent="0.25">
      <c r="A228" s="8">
        <v>3</v>
      </c>
      <c r="B228" s="8">
        <v>2</v>
      </c>
      <c r="C228" s="8">
        <v>4</v>
      </c>
      <c r="D228" s="94" t="s">
        <v>213</v>
      </c>
      <c r="E228" s="7">
        <v>0.6</v>
      </c>
      <c r="F228" s="79">
        <f t="shared" ref="F228:F234" si="61">$E$4*E228</f>
        <v>84</v>
      </c>
      <c r="G228" s="8">
        <f t="shared" si="52"/>
        <v>60</v>
      </c>
      <c r="H228" s="8" t="str" cm="1">
        <f t="array" ref="H228">GetColorMatchValue(F228, $F$3:$F$10)</f>
        <v>fs</v>
      </c>
      <c r="I228" s="101" t="str">
        <f t="shared" ref="I228:I234" si="62">"&lt;tr data-section="""&amp;A227&amp;B227&amp;C227&amp;"""&gt;&lt;td&gt;"&amp;D227&amp;"&lt;/td&gt;&lt;td&gt;"&amp;G227&amp;"%&lt;/td&gt;&lt;td&gt;${percent("&amp;H227&amp;", "&amp;G227&amp;")}kg&lt;/td&gt;&lt;/tr&gt;"</f>
        <v>&lt;tr data-section="324"&gt;&lt;td&gt;Front Squat&lt;/td&gt;&lt;td&gt;%&lt;/td&gt;&lt;td&gt;${percent(, )}kg&lt;/td&gt;&lt;/tr&gt;</v>
      </c>
    </row>
    <row r="229" spans="1:15" ht="15" customHeight="1" x14ac:dyDescent="0.25">
      <c r="A229" s="8">
        <v>3</v>
      </c>
      <c r="B229" s="8">
        <v>2</v>
      </c>
      <c r="C229" s="8">
        <v>4</v>
      </c>
      <c r="D229" s="94" t="s">
        <v>213</v>
      </c>
      <c r="E229" s="7">
        <v>0.7</v>
      </c>
      <c r="F229" s="79">
        <f t="shared" si="61"/>
        <v>98</v>
      </c>
      <c r="G229" s="8">
        <f t="shared" si="52"/>
        <v>70</v>
      </c>
      <c r="H229" s="8" t="str" cm="1">
        <f t="array" ref="H229">GetColorMatchValue(F229, $F$3:$F$10)</f>
        <v>fs</v>
      </c>
      <c r="I229" s="101" t="str">
        <f t="shared" si="62"/>
        <v>&lt;tr data-section="324"&gt;&lt;td&gt;1 Set of 3 Reps&lt;/td&gt;&lt;td&gt;60%&lt;/td&gt;&lt;td&gt;${percent(fs, 60)}kg&lt;/td&gt;&lt;/tr&gt;</v>
      </c>
      <c r="K229" s="62"/>
      <c r="L229" s="62"/>
      <c r="N229" s="62"/>
      <c r="O229" s="62"/>
    </row>
    <row r="230" spans="1:15" ht="15" customHeight="1" x14ac:dyDescent="0.25">
      <c r="A230" s="8">
        <v>3</v>
      </c>
      <c r="B230" s="8">
        <v>2</v>
      </c>
      <c r="C230" s="8">
        <v>4</v>
      </c>
      <c r="D230" s="94" t="s">
        <v>213</v>
      </c>
      <c r="E230" s="7">
        <v>0.8</v>
      </c>
      <c r="F230" s="79">
        <f t="shared" si="61"/>
        <v>112</v>
      </c>
      <c r="G230" s="8">
        <f t="shared" si="52"/>
        <v>80</v>
      </c>
      <c r="H230" s="8" t="str" cm="1">
        <f t="array" ref="H230">GetColorMatchValue(F230, $F$3:$F$10)</f>
        <v>fs</v>
      </c>
      <c r="I230" s="101" t="str">
        <f t="shared" si="62"/>
        <v>&lt;tr data-section="324"&gt;&lt;td&gt;1 Set of 3 Reps&lt;/td&gt;&lt;td&gt;70%&lt;/td&gt;&lt;td&gt;${percent(fs, 70)}kg&lt;/td&gt;&lt;/tr&gt;</v>
      </c>
      <c r="K230" s="62"/>
      <c r="L230" s="62"/>
      <c r="N230" s="62"/>
      <c r="O230" s="62"/>
    </row>
    <row r="231" spans="1:15" ht="15" customHeight="1" x14ac:dyDescent="0.25">
      <c r="A231" s="8">
        <v>3</v>
      </c>
      <c r="B231" s="8">
        <v>2</v>
      </c>
      <c r="C231" s="8">
        <v>4</v>
      </c>
      <c r="D231" s="94" t="s">
        <v>236</v>
      </c>
      <c r="E231" s="7">
        <v>0.85</v>
      </c>
      <c r="F231" s="79">
        <f t="shared" si="61"/>
        <v>119</v>
      </c>
      <c r="G231" s="8">
        <f t="shared" si="52"/>
        <v>85</v>
      </c>
      <c r="H231" s="8" t="str" cm="1">
        <f t="array" ref="H231">GetColorMatchValue(F231, $F$3:$F$10)</f>
        <v>fs</v>
      </c>
      <c r="I231" s="101" t="str">
        <f t="shared" si="62"/>
        <v>&lt;tr data-section="324"&gt;&lt;td&gt;1 Set of 3 Reps&lt;/td&gt;&lt;td&gt;80%&lt;/td&gt;&lt;td&gt;${percent(fs, 80)}kg&lt;/td&gt;&lt;/tr&gt;</v>
      </c>
      <c r="K231" s="62"/>
      <c r="L231" s="62"/>
      <c r="N231" s="62"/>
      <c r="O231" s="62"/>
    </row>
    <row r="232" spans="1:15" ht="15" customHeight="1" x14ac:dyDescent="0.25">
      <c r="A232" s="8">
        <v>3</v>
      </c>
      <c r="B232" s="8">
        <v>2</v>
      </c>
      <c r="C232" s="8">
        <v>4</v>
      </c>
      <c r="D232" s="94" t="s">
        <v>212</v>
      </c>
      <c r="E232" s="7">
        <v>0.9</v>
      </c>
      <c r="F232" s="79">
        <f t="shared" si="61"/>
        <v>126</v>
      </c>
      <c r="G232" s="8">
        <f t="shared" si="52"/>
        <v>90</v>
      </c>
      <c r="H232" s="8" t="str" cm="1">
        <f t="array" ref="H232">GetColorMatchValue(F232, $F$3:$F$10)</f>
        <v>fs</v>
      </c>
      <c r="I232" s="101" t="str">
        <f t="shared" si="62"/>
        <v>&lt;tr data-section="324"&gt;&lt;td&gt;1 Set of 2 Reps&lt;/td&gt;&lt;td&gt;85%&lt;/td&gt;&lt;td&gt;${percent(fs, 85)}kg&lt;/td&gt;&lt;/tr&gt;</v>
      </c>
      <c r="K232" s="62"/>
      <c r="L232" s="62"/>
      <c r="N232" s="62"/>
      <c r="O232" s="62"/>
    </row>
    <row r="233" spans="1:15" ht="15" customHeight="1" x14ac:dyDescent="0.25">
      <c r="A233" s="8">
        <v>3</v>
      </c>
      <c r="B233" s="8">
        <v>2</v>
      </c>
      <c r="C233" s="8">
        <v>4</v>
      </c>
      <c r="D233" s="94" t="s">
        <v>213</v>
      </c>
      <c r="E233" s="7">
        <v>0.8</v>
      </c>
      <c r="F233" s="79">
        <f t="shared" si="61"/>
        <v>112</v>
      </c>
      <c r="G233" s="8">
        <f t="shared" si="52"/>
        <v>80</v>
      </c>
      <c r="H233" s="8" t="str" cm="1">
        <f t="array" ref="H233">GetColorMatchValue(F233, $F$3:$F$10)</f>
        <v>fs</v>
      </c>
      <c r="I233" s="101" t="str">
        <f t="shared" si="62"/>
        <v>&lt;tr data-section="324"&gt;&lt;td&gt;1 Set of 1 Rep&lt;/td&gt;&lt;td&gt;90%&lt;/td&gt;&lt;td&gt;${percent(fs, 90)}kg&lt;/td&gt;&lt;/tr&gt;</v>
      </c>
      <c r="K233" s="62"/>
      <c r="L233" s="62"/>
      <c r="N233" s="62"/>
      <c r="O233" s="62"/>
    </row>
    <row r="234" spans="1:15" ht="15" customHeight="1" x14ac:dyDescent="0.25">
      <c r="A234" s="8">
        <v>3</v>
      </c>
      <c r="B234" s="8">
        <v>2</v>
      </c>
      <c r="C234" s="8">
        <v>4</v>
      </c>
      <c r="D234" s="94" t="s">
        <v>212</v>
      </c>
      <c r="E234" s="7">
        <v>0.85</v>
      </c>
      <c r="F234" s="79">
        <f t="shared" si="61"/>
        <v>119</v>
      </c>
      <c r="G234" s="8">
        <f t="shared" si="52"/>
        <v>85</v>
      </c>
      <c r="H234" s="8" t="str" cm="1">
        <f t="array" ref="H234">GetColorMatchValue(F234, $F$3:$F$10)</f>
        <v>fs</v>
      </c>
      <c r="I234" s="101" t="str">
        <f t="shared" si="62"/>
        <v>&lt;tr data-section="324"&gt;&lt;td&gt;1 Set of 3 Reps&lt;/td&gt;&lt;td&gt;80%&lt;/td&gt;&lt;td&gt;${percent(fs, 80)}kg&lt;/td&gt;&lt;/tr&gt;</v>
      </c>
      <c r="K234" s="62"/>
      <c r="L234" s="62"/>
      <c r="N234" s="62"/>
      <c r="O234" s="62"/>
    </row>
    <row r="235" spans="1:15" ht="15" customHeight="1" x14ac:dyDescent="0.25">
      <c r="A235" s="8">
        <v>3</v>
      </c>
      <c r="B235" s="8">
        <v>2</v>
      </c>
      <c r="C235" s="8">
        <v>4</v>
      </c>
      <c r="D235" s="94"/>
      <c r="E235" s="8"/>
      <c r="F235" s="71"/>
      <c r="G235" s="8" t="str">
        <f t="shared" si="52"/>
        <v/>
      </c>
      <c r="H235" s="8" t="str" cm="1">
        <f t="array" ref="H235">GetColorMatchValue(F235, $F$3:$F$10)</f>
        <v/>
      </c>
      <c r="I235" s="96" t="s">
        <v>287</v>
      </c>
      <c r="K235" s="62"/>
      <c r="L235" s="62"/>
      <c r="N235" s="62"/>
      <c r="O235" s="62"/>
    </row>
    <row r="236" spans="1:15" ht="15" customHeight="1" x14ac:dyDescent="0.25">
      <c r="A236" s="8">
        <v>3</v>
      </c>
      <c r="B236" s="8">
        <v>2</v>
      </c>
      <c r="C236" s="8">
        <v>5</v>
      </c>
      <c r="D236" s="93" t="s">
        <v>47</v>
      </c>
      <c r="E236" s="8"/>
      <c r="F236" s="71"/>
      <c r="G236" s="8" t="str">
        <f t="shared" si="52"/>
        <v/>
      </c>
      <c r="H236" s="8" t="str" cm="1">
        <f t="array" ref="H236">GetColorMatchValue(F236, $F$3:$F$10)</f>
        <v/>
      </c>
      <c r="I236" s="99" t="str">
        <f>"&lt;tr&gt;&lt;th colspan=""3""&gt;&lt;label&gt;"&amp;D235&amp;"&lt;input type=""checkbox"" class=""section-toggle"" data-section="""&amp;A235&amp;B235&amp;C235&amp;"""/&gt;&lt;/label&gt;&lt;/th&gt;&lt;/tr&gt;"</f>
        <v>&lt;tr&gt;&lt;th colspan="3"&gt;&lt;label&gt;&lt;input type="checkbox" class="section-toggle" data-section="324"/&gt;&lt;/label&gt;&lt;/th&gt;&lt;/tr&gt;</v>
      </c>
      <c r="K236" s="62"/>
      <c r="L236" s="62"/>
      <c r="N236" s="62"/>
      <c r="O236" s="62"/>
    </row>
    <row r="237" spans="1:15" ht="15" customHeight="1" x14ac:dyDescent="0.25">
      <c r="A237" s="95">
        <v>3</v>
      </c>
      <c r="B237" s="95">
        <v>2</v>
      </c>
      <c r="C237" s="8">
        <v>5</v>
      </c>
      <c r="D237" s="94" t="s">
        <v>198</v>
      </c>
      <c r="E237" s="94" t="s">
        <v>197</v>
      </c>
      <c r="F237" s="71"/>
      <c r="G237" s="8" t="str">
        <f>IF(ISNUMBER(#REF!),#REF! * 100, "")</f>
        <v/>
      </c>
      <c r="H237" s="8" t="str" cm="1">
        <f t="array" ref="H237">GetColorMatchValue(F237, $F$3:$F$10)</f>
        <v/>
      </c>
      <c r="I237" s="104" t="str">
        <f>"&lt;tr data-section="""&amp;A236&amp;B236&amp;C236&amp;"""&gt;&lt;td colspan=""3""&gt;"&amp;D236&amp;" "&amp;E236&amp;"&lt;/td&gt;&lt;/tr&gt;"</f>
        <v>&lt;tr data-section="325"&gt;&lt;td colspan="3"&gt;Press &lt;/td&gt;&lt;/tr&gt;</v>
      </c>
      <c r="K237" s="62"/>
      <c r="L237" s="62"/>
      <c r="N237" s="62"/>
      <c r="O237" s="62"/>
    </row>
    <row r="238" spans="1:15" ht="15" customHeight="1" x14ac:dyDescent="0.25">
      <c r="A238" s="8">
        <v>3</v>
      </c>
      <c r="B238" s="8">
        <v>2</v>
      </c>
      <c r="C238" s="8">
        <v>5</v>
      </c>
      <c r="D238" s="94"/>
      <c r="E238" s="8"/>
      <c r="F238" s="71"/>
      <c r="G238" s="8" t="str">
        <f t="shared" si="52"/>
        <v/>
      </c>
      <c r="H238" s="8" t="str" cm="1">
        <f t="array" ref="H238">GetColorMatchValue(F238, $F$3:$F$10)</f>
        <v/>
      </c>
      <c r="I238" s="96" t="s">
        <v>287</v>
      </c>
      <c r="K238" s="62"/>
      <c r="L238" s="62"/>
      <c r="N238" s="62"/>
      <c r="O238" s="62"/>
    </row>
    <row r="239" spans="1:15" ht="15" customHeight="1" x14ac:dyDescent="0.25">
      <c r="A239" s="8">
        <v>3</v>
      </c>
      <c r="B239" s="8">
        <v>2</v>
      </c>
      <c r="C239" s="8">
        <v>6</v>
      </c>
      <c r="D239" s="93" t="s">
        <v>27</v>
      </c>
      <c r="E239" s="8"/>
      <c r="F239" s="71"/>
      <c r="G239" s="8" t="str">
        <f t="shared" si="52"/>
        <v/>
      </c>
      <c r="H239" s="8" t="str" cm="1">
        <f t="array" ref="H239">GetColorMatchValue(F239, $F$3:$F$10)</f>
        <v/>
      </c>
      <c r="I239" s="99" t="str">
        <f>"&lt;tr&gt;&lt;th colspan=""3""&gt;&lt;label&gt;"&amp;D238&amp;"&lt;input type=""checkbox"" class=""section-toggle"" data-section="""&amp;A238&amp;B238&amp;C238&amp;"""/&gt;&lt;/label&gt;&lt;/th&gt;&lt;/tr&gt;"</f>
        <v>&lt;tr&gt;&lt;th colspan="3"&gt;&lt;label&gt;&lt;input type="checkbox" class="section-toggle" data-section="325"/&gt;&lt;/label&gt;&lt;/th&gt;&lt;/tr&gt;</v>
      </c>
      <c r="K239" s="62"/>
      <c r="L239" s="62"/>
      <c r="N239" s="62"/>
      <c r="O239" s="62"/>
    </row>
    <row r="240" spans="1:15" ht="15" customHeight="1" x14ac:dyDescent="0.25">
      <c r="A240" s="95">
        <v>3</v>
      </c>
      <c r="B240" s="95">
        <v>2</v>
      </c>
      <c r="C240" s="8">
        <v>6</v>
      </c>
      <c r="D240" s="94" t="s">
        <v>196</v>
      </c>
      <c r="E240" s="8" t="s">
        <v>194</v>
      </c>
      <c r="F240" s="71"/>
      <c r="G240" s="8" t="str">
        <f t="shared" ref="G240" si="63">IF(ISNUMBER(E240), E240 * 100, "")</f>
        <v/>
      </c>
      <c r="H240" s="8" t="str" cm="1">
        <f t="array" ref="H240">GetColorMatchValue(F240, $F$3:$F$10)</f>
        <v/>
      </c>
      <c r="I240" s="104" t="str">
        <f>"&lt;tr data-section="""&amp;A239&amp;B239&amp;C239&amp;"""&gt;&lt;td colspan=""3""&gt;"&amp;D239&amp;" "&amp;E239&amp;"&lt;/td&gt;&lt;/tr&gt;"</f>
        <v>&lt;tr data-section="326"&gt;&lt;td colspan="3"&gt;Abdominals &lt;/td&gt;&lt;/tr&gt;</v>
      </c>
      <c r="K240" s="62"/>
      <c r="L240" s="62"/>
      <c r="N240" s="62"/>
      <c r="O240" s="62"/>
    </row>
    <row r="241" spans="1:15" ht="15" customHeight="1" x14ac:dyDescent="0.25">
      <c r="A241" s="8">
        <v>3</v>
      </c>
      <c r="B241" s="8">
        <v>3</v>
      </c>
      <c r="C241" s="8">
        <v>1</v>
      </c>
      <c r="D241" s="93" t="s">
        <v>0</v>
      </c>
      <c r="E241" s="8"/>
      <c r="F241" s="71"/>
      <c r="G241" s="8" t="str">
        <f t="shared" si="52"/>
        <v/>
      </c>
      <c r="H241" s="8" t="str" cm="1">
        <f t="array" ref="H241">GetColorMatchValue(F241, $F$3:$F$10)</f>
        <v/>
      </c>
      <c r="I241" s="99" t="str">
        <f>"&lt;tr&gt;&lt;th colspan=""3""&gt;&lt;label&gt;"&amp;D240&amp;"&lt;input type=""checkbox"" class=""section-toggle"" data-section="""&amp;A240&amp;B240&amp;C240&amp;"""/&gt;&lt;/label&gt;&lt;/th&gt;&lt;/tr&gt;"</f>
        <v>&lt;tr&gt;&lt;th colspan="3"&gt;&lt;label&gt;3 Sets of 25 Reps&lt;input type="checkbox" class="section-toggle" data-section="326"/&gt;&lt;/label&gt;&lt;/th&gt;&lt;/tr&gt;</v>
      </c>
      <c r="L241" s="45"/>
      <c r="N241" s="62"/>
      <c r="O241" s="62"/>
    </row>
    <row r="242" spans="1:15" ht="15" customHeight="1" x14ac:dyDescent="0.25">
      <c r="A242" s="8">
        <v>3</v>
      </c>
      <c r="B242" s="8">
        <v>3</v>
      </c>
      <c r="C242" s="8">
        <v>1</v>
      </c>
      <c r="D242" s="94" t="s">
        <v>213</v>
      </c>
      <c r="E242" s="7">
        <v>0.6</v>
      </c>
      <c r="F242" s="72">
        <f t="shared" ref="F242:F248" si="64">$E$3*E242</f>
        <v>120</v>
      </c>
      <c r="G242" s="8">
        <f t="shared" si="52"/>
        <v>60</v>
      </c>
      <c r="H242" s="8" t="str" cm="1">
        <f t="array" ref="H242">GetColorMatchValue(F242, $F$3:$F$10)</f>
        <v>bs</v>
      </c>
      <c r="I242" s="101" t="str">
        <f t="shared" ref="I242:I248" si="65">"&lt;tr data-section="""&amp;A241&amp;B241&amp;C241&amp;"""&gt;&lt;td&gt;"&amp;D241&amp;"&lt;/td&gt;&lt;td&gt;"&amp;G241&amp;"%&lt;/td&gt;&lt;td&gt;${percent("&amp;H241&amp;", "&amp;G241&amp;")}kg&lt;/td&gt;&lt;/tr&gt;"</f>
        <v>&lt;tr data-section="331"&gt;&lt;td&gt;Back Squat&lt;/td&gt;&lt;td&gt;%&lt;/td&gt;&lt;td&gt;${percent(, )}kg&lt;/td&gt;&lt;/tr&gt;</v>
      </c>
      <c r="L242" s="45"/>
      <c r="N242" s="62"/>
      <c r="O242" s="62"/>
    </row>
    <row r="243" spans="1:15" ht="15" customHeight="1" x14ac:dyDescent="0.25">
      <c r="A243" s="8">
        <v>3</v>
      </c>
      <c r="B243" s="8">
        <v>3</v>
      </c>
      <c r="C243" s="8">
        <v>1</v>
      </c>
      <c r="D243" s="94" t="s">
        <v>213</v>
      </c>
      <c r="E243" s="7">
        <v>0.7</v>
      </c>
      <c r="F243" s="72">
        <f t="shared" si="64"/>
        <v>140</v>
      </c>
      <c r="G243" s="8">
        <f t="shared" si="52"/>
        <v>70</v>
      </c>
      <c r="H243" s="8" t="str" cm="1">
        <f t="array" ref="H243">GetColorMatchValue(F243, $F$3:$F$10)</f>
        <v>bs</v>
      </c>
      <c r="I243" s="101" t="str">
        <f t="shared" si="65"/>
        <v>&lt;tr data-section="331"&gt;&lt;td&gt;1 Set of 3 Reps&lt;/td&gt;&lt;td&gt;60%&lt;/td&gt;&lt;td&gt;${percent(bs, 60)}kg&lt;/td&gt;&lt;/tr&gt;</v>
      </c>
      <c r="L243" s="45"/>
      <c r="N243" s="62"/>
      <c r="O243" s="62"/>
    </row>
    <row r="244" spans="1:15" ht="15" customHeight="1" x14ac:dyDescent="0.25">
      <c r="A244" s="8">
        <v>3</v>
      </c>
      <c r="B244" s="8">
        <v>3</v>
      </c>
      <c r="C244" s="8">
        <v>1</v>
      </c>
      <c r="D244" s="94" t="s">
        <v>213</v>
      </c>
      <c r="E244" s="7">
        <v>0.8</v>
      </c>
      <c r="F244" s="72">
        <f t="shared" si="64"/>
        <v>160</v>
      </c>
      <c r="G244" s="8">
        <f t="shared" si="52"/>
        <v>80</v>
      </c>
      <c r="H244" s="8" t="str" cm="1">
        <f t="array" ref="H244">GetColorMatchValue(F244, $F$3:$F$10)</f>
        <v>bs</v>
      </c>
      <c r="I244" s="101" t="str">
        <f t="shared" si="65"/>
        <v>&lt;tr data-section="331"&gt;&lt;td&gt;1 Set of 3 Reps&lt;/td&gt;&lt;td&gt;70%&lt;/td&gt;&lt;td&gt;${percent(bs, 70)}kg&lt;/td&gt;&lt;/tr&gt;</v>
      </c>
      <c r="L244" s="45"/>
      <c r="N244" s="62"/>
      <c r="O244" s="62"/>
    </row>
    <row r="245" spans="1:15" ht="15" customHeight="1" x14ac:dyDescent="0.25">
      <c r="A245" s="8">
        <v>3</v>
      </c>
      <c r="B245" s="8">
        <v>3</v>
      </c>
      <c r="C245" s="8">
        <v>1</v>
      </c>
      <c r="D245" s="94" t="s">
        <v>213</v>
      </c>
      <c r="E245" s="7">
        <v>0.85</v>
      </c>
      <c r="F245" s="72">
        <f t="shared" si="64"/>
        <v>170</v>
      </c>
      <c r="G245" s="8">
        <f t="shared" si="52"/>
        <v>85</v>
      </c>
      <c r="H245" s="8" t="str" cm="1">
        <f t="array" ref="H245">GetColorMatchValue(F245, $F$3:$F$10)</f>
        <v>bs</v>
      </c>
      <c r="I245" s="101" t="str">
        <f t="shared" si="65"/>
        <v>&lt;tr data-section="331"&gt;&lt;td&gt;1 Set of 3 Reps&lt;/td&gt;&lt;td&gt;80%&lt;/td&gt;&lt;td&gt;${percent(bs, 80)}kg&lt;/td&gt;&lt;/tr&gt;</v>
      </c>
      <c r="L245" s="45"/>
      <c r="N245" s="62"/>
      <c r="O245" s="62"/>
    </row>
    <row r="246" spans="1:15" ht="15" customHeight="1" x14ac:dyDescent="0.25">
      <c r="A246" s="8">
        <v>3</v>
      </c>
      <c r="B246" s="8">
        <v>3</v>
      </c>
      <c r="C246" s="8">
        <v>1</v>
      </c>
      <c r="D246" s="94" t="s">
        <v>213</v>
      </c>
      <c r="E246" s="7">
        <v>0.9</v>
      </c>
      <c r="F246" s="72">
        <f t="shared" si="64"/>
        <v>180</v>
      </c>
      <c r="G246" s="8">
        <f t="shared" si="52"/>
        <v>90</v>
      </c>
      <c r="H246" s="8" t="str" cm="1">
        <f t="array" ref="H246">GetColorMatchValue(F246, $F$3:$F$10)</f>
        <v>bs</v>
      </c>
      <c r="I246" s="101" t="str">
        <f t="shared" si="65"/>
        <v>&lt;tr data-section="331"&gt;&lt;td&gt;1 Set of 3 Reps&lt;/td&gt;&lt;td&gt;85%&lt;/td&gt;&lt;td&gt;${percent(bs, 85)}kg&lt;/td&gt;&lt;/tr&gt;</v>
      </c>
      <c r="L246" s="45"/>
      <c r="N246" s="62"/>
      <c r="O246" s="62"/>
    </row>
    <row r="247" spans="1:15" ht="15" customHeight="1" x14ac:dyDescent="0.25">
      <c r="A247" s="8">
        <v>3</v>
      </c>
      <c r="B247" s="8">
        <v>3</v>
      </c>
      <c r="C247" s="8">
        <v>1</v>
      </c>
      <c r="D247" s="94" t="s">
        <v>213</v>
      </c>
      <c r="E247" s="7">
        <v>0.85</v>
      </c>
      <c r="F247" s="72">
        <f t="shared" si="64"/>
        <v>170</v>
      </c>
      <c r="G247" s="8">
        <f t="shared" si="52"/>
        <v>85</v>
      </c>
      <c r="H247" s="8" t="str" cm="1">
        <f t="array" ref="H247">GetColorMatchValue(F247, $F$3:$F$10)</f>
        <v>bs</v>
      </c>
      <c r="I247" s="101" t="str">
        <f t="shared" si="65"/>
        <v>&lt;tr data-section="331"&gt;&lt;td&gt;1 Set of 3 Reps&lt;/td&gt;&lt;td&gt;90%&lt;/td&gt;&lt;td&gt;${percent(bs, 90)}kg&lt;/td&gt;&lt;/tr&gt;</v>
      </c>
      <c r="L247" s="45"/>
      <c r="N247" s="62"/>
      <c r="O247" s="62"/>
    </row>
    <row r="248" spans="1:15" ht="15" customHeight="1" x14ac:dyDescent="0.25">
      <c r="A248" s="8">
        <v>3</v>
      </c>
      <c r="B248" s="8">
        <v>3</v>
      </c>
      <c r="C248" s="8">
        <v>1</v>
      </c>
      <c r="D248" s="94" t="s">
        <v>236</v>
      </c>
      <c r="E248" s="7">
        <v>0.9</v>
      </c>
      <c r="F248" s="72">
        <f t="shared" si="64"/>
        <v>180</v>
      </c>
      <c r="G248" s="8">
        <f t="shared" si="52"/>
        <v>90</v>
      </c>
      <c r="H248" s="8" t="str" cm="1">
        <f t="array" ref="H248">GetColorMatchValue(F248, $F$3:$F$10)</f>
        <v>bs</v>
      </c>
      <c r="I248" s="101" t="str">
        <f t="shared" si="65"/>
        <v>&lt;tr data-section="331"&gt;&lt;td&gt;1 Set of 3 Reps&lt;/td&gt;&lt;td&gt;85%&lt;/td&gt;&lt;td&gt;${percent(bs, 85)}kg&lt;/td&gt;&lt;/tr&gt;</v>
      </c>
      <c r="L248" s="45"/>
      <c r="N248" s="62"/>
      <c r="O248" s="62"/>
    </row>
    <row r="249" spans="1:15" ht="15" customHeight="1" x14ac:dyDescent="0.25">
      <c r="A249" s="8">
        <v>3</v>
      </c>
      <c r="B249" s="8">
        <v>3</v>
      </c>
      <c r="C249" s="8">
        <v>1</v>
      </c>
      <c r="D249" s="94"/>
      <c r="E249" s="8"/>
      <c r="F249" s="71"/>
      <c r="G249" s="8" t="str">
        <f t="shared" si="52"/>
        <v/>
      </c>
      <c r="H249" s="8" t="str" cm="1">
        <f t="array" ref="H249">GetColorMatchValue(F249, $F$3:$F$10)</f>
        <v/>
      </c>
      <c r="I249" s="96" t="s">
        <v>287</v>
      </c>
      <c r="L249" s="45"/>
      <c r="N249" s="62"/>
      <c r="O249" s="62"/>
    </row>
    <row r="250" spans="1:15" ht="15" customHeight="1" x14ac:dyDescent="0.25">
      <c r="A250" s="8">
        <v>3</v>
      </c>
      <c r="B250" s="8">
        <v>3</v>
      </c>
      <c r="C250" s="8">
        <v>2</v>
      </c>
      <c r="D250" s="93" t="s">
        <v>42</v>
      </c>
      <c r="E250" s="8"/>
      <c r="F250" s="71"/>
      <c r="G250" s="8" t="str">
        <f t="shared" si="52"/>
        <v/>
      </c>
      <c r="H250" s="8" t="str" cm="1">
        <f t="array" ref="H250">GetColorMatchValue(F250, $F$3:$F$10)</f>
        <v/>
      </c>
      <c r="I250" s="99" t="str">
        <f>"&lt;tr&gt;&lt;th colspan=""3""&gt;&lt;label&gt;"&amp;D249&amp;"&lt;input type=""checkbox"" class=""section-toggle"" data-section="""&amp;A249&amp;B249&amp;C249&amp;"""/&gt;&lt;/label&gt;&lt;/th&gt;&lt;/tr&gt;"</f>
        <v>&lt;tr&gt;&lt;th colspan="3"&gt;&lt;label&gt;&lt;input type="checkbox" class="section-toggle" data-section="331"/&gt;&lt;/label&gt;&lt;/th&gt;&lt;/tr&gt;</v>
      </c>
      <c r="L250" s="45"/>
      <c r="N250" s="62"/>
      <c r="O250" s="62"/>
    </row>
    <row r="251" spans="1:15" ht="15" customHeight="1" x14ac:dyDescent="0.25">
      <c r="A251" s="8">
        <v>3</v>
      </c>
      <c r="B251" s="8">
        <v>3</v>
      </c>
      <c r="C251" s="8">
        <v>2</v>
      </c>
      <c r="D251" s="94" t="s">
        <v>236</v>
      </c>
      <c r="E251" s="7">
        <v>0.6</v>
      </c>
      <c r="F251" s="73">
        <f t="shared" ref="F251:F254" si="66">$E$7*E251</f>
        <v>57</v>
      </c>
      <c r="G251" s="8">
        <f t="shared" si="52"/>
        <v>60</v>
      </c>
      <c r="H251" s="8" t="str" cm="1">
        <f t="array" ref="H251">GetColorMatchValue(F251, $F$3:$F$10)</f>
        <v>s</v>
      </c>
      <c r="I251" s="101" t="str">
        <f t="shared" ref="I251:I254" si="67">"&lt;tr data-section="""&amp;A250&amp;B250&amp;C250&amp;"""&gt;&lt;td&gt;"&amp;D250&amp;"&lt;/td&gt;&lt;td&gt;"&amp;G250&amp;"%&lt;/td&gt;&lt;td&gt;${percent("&amp;H250&amp;", "&amp;G250&amp;")}kg&lt;/td&gt;&lt;/tr&gt;"</f>
        <v>&lt;tr data-section="332"&gt;&lt;td&gt;Snatch&lt;/td&gt;&lt;td&gt;%&lt;/td&gt;&lt;td&gt;${percent(, )}kg&lt;/td&gt;&lt;/tr&gt;</v>
      </c>
      <c r="L251" s="45"/>
      <c r="N251" s="62"/>
      <c r="O251" s="62"/>
    </row>
    <row r="252" spans="1:15" ht="15" customHeight="1" x14ac:dyDescent="0.25">
      <c r="A252" s="8">
        <v>3</v>
      </c>
      <c r="B252" s="8">
        <v>3</v>
      </c>
      <c r="C252" s="8">
        <v>2</v>
      </c>
      <c r="D252" s="94" t="s">
        <v>236</v>
      </c>
      <c r="E252" s="7">
        <v>0.7</v>
      </c>
      <c r="F252" s="73">
        <f t="shared" si="66"/>
        <v>66.5</v>
      </c>
      <c r="G252" s="8">
        <f t="shared" si="52"/>
        <v>70</v>
      </c>
      <c r="H252" s="8" t="str" cm="1">
        <f t="array" ref="H252">GetColorMatchValue(F252, $F$3:$F$10)</f>
        <v>s</v>
      </c>
      <c r="I252" s="101" t="str">
        <f t="shared" si="67"/>
        <v>&lt;tr data-section="332"&gt;&lt;td&gt;1 Set of 2 Reps&lt;/td&gt;&lt;td&gt;60%&lt;/td&gt;&lt;td&gt;${percent(s, 60)}kg&lt;/td&gt;&lt;/tr&gt;</v>
      </c>
      <c r="L252" s="45"/>
      <c r="N252" s="62"/>
      <c r="O252" s="62"/>
    </row>
    <row r="253" spans="1:15" ht="15" customHeight="1" x14ac:dyDescent="0.25">
      <c r="A253" s="8">
        <v>3</v>
      </c>
      <c r="B253" s="8">
        <v>3</v>
      </c>
      <c r="C253" s="8">
        <v>2</v>
      </c>
      <c r="D253" s="94" t="s">
        <v>236</v>
      </c>
      <c r="E253" s="7">
        <v>0.8</v>
      </c>
      <c r="F253" s="73">
        <f t="shared" si="66"/>
        <v>76</v>
      </c>
      <c r="G253" s="8">
        <f t="shared" si="52"/>
        <v>80</v>
      </c>
      <c r="H253" s="8" t="str" cm="1">
        <f t="array" ref="H253">GetColorMatchValue(F253, $F$3:$F$10)</f>
        <v>s</v>
      </c>
      <c r="I253" s="101" t="str">
        <f t="shared" si="67"/>
        <v>&lt;tr data-section="332"&gt;&lt;td&gt;1 Set of 2 Reps&lt;/td&gt;&lt;td&gt;70%&lt;/td&gt;&lt;td&gt;${percent(s, 70)}kg&lt;/td&gt;&lt;/tr&gt;</v>
      </c>
      <c r="L253" s="45"/>
      <c r="N253" s="62"/>
      <c r="O253" s="62"/>
    </row>
    <row r="254" spans="1:15" ht="15" customHeight="1" x14ac:dyDescent="0.25">
      <c r="A254" s="8">
        <v>3</v>
      </c>
      <c r="B254" s="8">
        <v>3</v>
      </c>
      <c r="C254" s="8">
        <v>2</v>
      </c>
      <c r="D254" s="94" t="s">
        <v>240</v>
      </c>
      <c r="E254" s="7">
        <v>0.85</v>
      </c>
      <c r="F254" s="73">
        <f t="shared" si="66"/>
        <v>80.75</v>
      </c>
      <c r="G254" s="8">
        <f t="shared" si="52"/>
        <v>85</v>
      </c>
      <c r="H254" s="8" t="str" cm="1">
        <f t="array" ref="H254">GetColorMatchValue(F254, $F$3:$F$10)</f>
        <v>s</v>
      </c>
      <c r="I254" s="101" t="str">
        <f t="shared" si="67"/>
        <v>&lt;tr data-section="332"&gt;&lt;td&gt;1 Set of 2 Reps&lt;/td&gt;&lt;td&gt;80%&lt;/td&gt;&lt;td&gt;${percent(s, 80)}kg&lt;/td&gt;&lt;/tr&gt;</v>
      </c>
      <c r="L254" s="45"/>
      <c r="N254" s="62"/>
      <c r="O254" s="62"/>
    </row>
    <row r="255" spans="1:15" ht="15" customHeight="1" x14ac:dyDescent="0.25">
      <c r="A255" s="8">
        <v>3</v>
      </c>
      <c r="B255" s="8">
        <v>3</v>
      </c>
      <c r="C255" s="8">
        <v>2</v>
      </c>
      <c r="D255" s="94"/>
      <c r="E255" s="8"/>
      <c r="F255" s="71"/>
      <c r="G255" s="8" t="str">
        <f t="shared" ref="G255:G317" si="68">IF(ISNUMBER(E255), E255 * 100, "")</f>
        <v/>
      </c>
      <c r="H255" s="8" t="str" cm="1">
        <f t="array" ref="H255">GetColorMatchValue(F255, $F$3:$F$10)</f>
        <v/>
      </c>
      <c r="I255" s="96" t="s">
        <v>287</v>
      </c>
      <c r="L255" s="45"/>
      <c r="N255" s="62"/>
      <c r="O255" s="62"/>
    </row>
    <row r="256" spans="1:15" ht="15" customHeight="1" x14ac:dyDescent="0.25">
      <c r="A256" s="8">
        <v>3</v>
      </c>
      <c r="B256" s="8">
        <v>3</v>
      </c>
      <c r="C256" s="8">
        <v>3</v>
      </c>
      <c r="D256" s="93" t="s">
        <v>49</v>
      </c>
      <c r="E256" s="8"/>
      <c r="F256" s="71"/>
      <c r="G256" s="8" t="str">
        <f t="shared" si="68"/>
        <v/>
      </c>
      <c r="H256" s="8" t="str" cm="1">
        <f t="array" ref="H256">GetColorMatchValue(F256, $F$3:$F$10)</f>
        <v/>
      </c>
      <c r="I256" s="99" t="str">
        <f>"&lt;tr&gt;&lt;th colspan=""3""&gt;&lt;label&gt;"&amp;D255&amp;"&lt;input type=""checkbox"" class=""section-toggle"" data-section="""&amp;A255&amp;B255&amp;C255&amp;"""/&gt;&lt;/label&gt;&lt;/th&gt;&lt;/tr&gt;"</f>
        <v>&lt;tr&gt;&lt;th colspan="3"&gt;&lt;label&gt;&lt;input type="checkbox" class="section-toggle" data-section="332"/&gt;&lt;/label&gt;&lt;/th&gt;&lt;/tr&gt;</v>
      </c>
      <c r="L256" s="45"/>
      <c r="N256" s="62"/>
      <c r="O256" s="62"/>
    </row>
    <row r="257" spans="1:15" ht="15" customHeight="1" x14ac:dyDescent="0.25">
      <c r="A257" s="8">
        <v>3</v>
      </c>
      <c r="B257" s="8">
        <v>3</v>
      </c>
      <c r="C257" s="8">
        <v>3</v>
      </c>
      <c r="D257" s="94" t="s">
        <v>230</v>
      </c>
      <c r="E257" s="7">
        <v>0.6</v>
      </c>
      <c r="F257" s="77">
        <f t="shared" ref="F257:F260" si="69">$E$8*E257</f>
        <v>69</v>
      </c>
      <c r="G257" s="8">
        <f t="shared" si="68"/>
        <v>60</v>
      </c>
      <c r="H257" s="8" t="str" cm="1">
        <f t="array" ref="H257">GetColorMatchValue(F257, $F$3:$F$10)</f>
        <v>cj</v>
      </c>
      <c r="I257" s="101" t="str">
        <f t="shared" ref="I257:I260" si="70">"&lt;tr data-section="""&amp;A256&amp;B256&amp;C256&amp;"""&gt;&lt;td&gt;"&amp;D256&amp;"&lt;/td&gt;&lt;td&gt;"&amp;G256&amp;"%&lt;/td&gt;&lt;td&gt;${percent("&amp;H256&amp;", "&amp;G256&amp;")}kg&lt;/td&gt;&lt;/tr&gt;"</f>
        <v>&lt;tr data-section="333"&gt;&lt;td&gt;Clean &amp; Jerk&lt;/td&gt;&lt;td&gt;%&lt;/td&gt;&lt;td&gt;${percent(, )}kg&lt;/td&gt;&lt;/tr&gt;</v>
      </c>
      <c r="L257" s="45"/>
      <c r="N257" s="62"/>
      <c r="O257" s="62"/>
    </row>
    <row r="258" spans="1:15" ht="15" customHeight="1" x14ac:dyDescent="0.25">
      <c r="A258" s="8">
        <v>3</v>
      </c>
      <c r="B258" s="8">
        <v>3</v>
      </c>
      <c r="C258" s="8">
        <v>3</v>
      </c>
      <c r="D258" s="94" t="s">
        <v>230</v>
      </c>
      <c r="E258" s="7">
        <v>0.7</v>
      </c>
      <c r="F258" s="77">
        <f t="shared" si="69"/>
        <v>80.5</v>
      </c>
      <c r="G258" s="8">
        <f t="shared" si="68"/>
        <v>70</v>
      </c>
      <c r="H258" s="8" t="str" cm="1">
        <f t="array" ref="H258">GetColorMatchValue(F258, $F$3:$F$10)</f>
        <v>cj</v>
      </c>
      <c r="I258" s="101" t="str">
        <f t="shared" si="70"/>
        <v>&lt;tr data-section="333"&gt;&lt;td&gt;1 Set of 2 Cl. + 1 Jr.&lt;/td&gt;&lt;td&gt;60%&lt;/td&gt;&lt;td&gt;${percent(cj, 60)}kg&lt;/td&gt;&lt;/tr&gt;</v>
      </c>
      <c r="L258" s="45"/>
      <c r="N258" s="62"/>
      <c r="O258" s="62"/>
    </row>
    <row r="259" spans="1:15" ht="15" customHeight="1" x14ac:dyDescent="0.25">
      <c r="A259" s="8">
        <v>3</v>
      </c>
      <c r="B259" s="8">
        <v>3</v>
      </c>
      <c r="C259" s="8">
        <v>3</v>
      </c>
      <c r="D259" s="94" t="s">
        <v>230</v>
      </c>
      <c r="E259" s="7">
        <v>0.8</v>
      </c>
      <c r="F259" s="77">
        <f t="shared" si="69"/>
        <v>92</v>
      </c>
      <c r="G259" s="8">
        <f t="shared" si="68"/>
        <v>80</v>
      </c>
      <c r="H259" s="8" t="str" cm="1">
        <f t="array" ref="H259">GetColorMatchValue(F259, $F$3:$F$10)</f>
        <v>cj</v>
      </c>
      <c r="I259" s="101" t="str">
        <f t="shared" si="70"/>
        <v>&lt;tr data-section="333"&gt;&lt;td&gt;1 Set of 2 Cl. + 1 Jr.&lt;/td&gt;&lt;td&gt;70%&lt;/td&gt;&lt;td&gt;${percent(cj, 70)}kg&lt;/td&gt;&lt;/tr&gt;</v>
      </c>
      <c r="L259" s="45"/>
      <c r="N259" s="62"/>
      <c r="O259" s="62"/>
    </row>
    <row r="260" spans="1:15" ht="15" customHeight="1" x14ac:dyDescent="0.25">
      <c r="A260" s="8">
        <v>3</v>
      </c>
      <c r="B260" s="8">
        <v>3</v>
      </c>
      <c r="C260" s="8">
        <v>3</v>
      </c>
      <c r="D260" s="94" t="s">
        <v>270</v>
      </c>
      <c r="E260" s="7">
        <v>0.85</v>
      </c>
      <c r="F260" s="77">
        <f t="shared" si="69"/>
        <v>97.75</v>
      </c>
      <c r="G260" s="8">
        <f t="shared" si="68"/>
        <v>85</v>
      </c>
      <c r="H260" s="8" t="str" cm="1">
        <f t="array" ref="H260">GetColorMatchValue(F260, $F$3:$F$10)</f>
        <v>cj</v>
      </c>
      <c r="I260" s="101" t="str">
        <f t="shared" si="70"/>
        <v>&lt;tr data-section="333"&gt;&lt;td&gt;1 Set of 2 Cl. + 1 Jr.&lt;/td&gt;&lt;td&gt;80%&lt;/td&gt;&lt;td&gt;${percent(cj, 80)}kg&lt;/td&gt;&lt;/tr&gt;</v>
      </c>
      <c r="L260" s="45"/>
      <c r="N260" s="62"/>
      <c r="O260" s="62"/>
    </row>
    <row r="261" spans="1:15" ht="15" customHeight="1" x14ac:dyDescent="0.25">
      <c r="A261" s="8">
        <v>3</v>
      </c>
      <c r="B261" s="8">
        <v>3</v>
      </c>
      <c r="C261" s="8">
        <v>3</v>
      </c>
      <c r="D261" s="94"/>
      <c r="E261" s="8"/>
      <c r="F261" s="71"/>
      <c r="G261" s="8" t="str">
        <f t="shared" si="68"/>
        <v/>
      </c>
      <c r="H261" s="8" t="str" cm="1">
        <f t="array" ref="H261">GetColorMatchValue(F261, $F$3:$F$10)</f>
        <v/>
      </c>
      <c r="I261" s="96" t="s">
        <v>287</v>
      </c>
      <c r="L261" s="45"/>
      <c r="N261" s="62"/>
      <c r="O261" s="62"/>
    </row>
    <row r="262" spans="1:15" ht="15" customHeight="1" x14ac:dyDescent="0.25">
      <c r="A262" s="8">
        <v>3</v>
      </c>
      <c r="B262" s="8">
        <v>3</v>
      </c>
      <c r="C262" s="8">
        <v>4</v>
      </c>
      <c r="D262" s="93" t="s">
        <v>45</v>
      </c>
      <c r="E262" s="8"/>
      <c r="F262" s="71"/>
      <c r="G262" s="8" t="str">
        <f t="shared" si="68"/>
        <v/>
      </c>
      <c r="H262" s="8" t="str" cm="1">
        <f t="array" ref="H262">GetColorMatchValue(F262, $F$3:$F$10)</f>
        <v/>
      </c>
      <c r="I262" s="99" t="str">
        <f>"&lt;tr&gt;&lt;th colspan=""3""&gt;&lt;label&gt;"&amp;D261&amp;"&lt;input type=""checkbox"" class=""section-toggle"" data-section="""&amp;A261&amp;B261&amp;C261&amp;"""/&gt;&lt;/label&gt;&lt;/th&gt;&lt;/tr&gt;"</f>
        <v>&lt;tr&gt;&lt;th colspan="3"&gt;&lt;label&gt;&lt;input type="checkbox" class="section-toggle" data-section="333"/&gt;&lt;/label&gt;&lt;/th&gt;&lt;/tr&gt;</v>
      </c>
      <c r="L262" s="45"/>
      <c r="N262" s="62"/>
      <c r="O262" s="62"/>
    </row>
    <row r="263" spans="1:15" ht="15" customHeight="1" x14ac:dyDescent="0.25">
      <c r="A263" s="8">
        <v>3</v>
      </c>
      <c r="B263" s="8">
        <v>3</v>
      </c>
      <c r="C263" s="8">
        <v>4</v>
      </c>
      <c r="D263" s="94" t="s">
        <v>213</v>
      </c>
      <c r="E263" s="7">
        <v>0.6</v>
      </c>
      <c r="F263" s="77">
        <f t="shared" ref="F263:F268" si="71">$E$8*E263</f>
        <v>69</v>
      </c>
      <c r="G263" s="8">
        <f t="shared" si="68"/>
        <v>60</v>
      </c>
      <c r="H263" s="8" t="str" cm="1">
        <f t="array" ref="H263">GetColorMatchValue(F263, $F$3:$F$10)</f>
        <v>cj</v>
      </c>
      <c r="I263" s="101" t="str">
        <f t="shared" ref="I263:I268" si="72">"&lt;tr data-section="""&amp;A262&amp;B262&amp;C262&amp;"""&gt;&lt;td&gt;"&amp;D262&amp;"&lt;/td&gt;&lt;td&gt;"&amp;G262&amp;"%&lt;/td&gt;&lt;td&gt;${percent("&amp;H262&amp;", "&amp;G262&amp;")}kg&lt;/td&gt;&lt;/tr&gt;"</f>
        <v>&lt;tr data-section="334"&gt;&lt;td&gt;Behind the Neck Push Jerk&lt;/td&gt;&lt;td&gt;%&lt;/td&gt;&lt;td&gt;${percent(, )}kg&lt;/td&gt;&lt;/tr&gt;</v>
      </c>
      <c r="L263" s="45"/>
      <c r="N263" s="62"/>
      <c r="O263" s="62"/>
    </row>
    <row r="264" spans="1:15" ht="15" customHeight="1" x14ac:dyDescent="0.25">
      <c r="A264" s="8">
        <v>3</v>
      </c>
      <c r="B264" s="8">
        <v>3</v>
      </c>
      <c r="C264" s="8">
        <v>4</v>
      </c>
      <c r="D264" s="94" t="s">
        <v>213</v>
      </c>
      <c r="E264" s="7">
        <v>0.65</v>
      </c>
      <c r="F264" s="77">
        <f t="shared" si="71"/>
        <v>74.75</v>
      </c>
      <c r="G264" s="8">
        <f t="shared" si="68"/>
        <v>65</v>
      </c>
      <c r="H264" s="8" t="str" cm="1">
        <f t="array" ref="H264">GetColorMatchValue(F264, $F$3:$F$10)</f>
        <v>cj</v>
      </c>
      <c r="I264" s="101" t="str">
        <f t="shared" si="72"/>
        <v>&lt;tr data-section="334"&gt;&lt;td&gt;1 Set of 3 Reps&lt;/td&gt;&lt;td&gt;60%&lt;/td&gt;&lt;td&gt;${percent(cj, 60)}kg&lt;/td&gt;&lt;/tr&gt;</v>
      </c>
      <c r="L264" s="45"/>
      <c r="N264" s="62"/>
      <c r="O264" s="62"/>
    </row>
    <row r="265" spans="1:15" ht="15" customHeight="1" x14ac:dyDescent="0.25">
      <c r="A265" s="8">
        <v>3</v>
      </c>
      <c r="B265" s="8">
        <v>3</v>
      </c>
      <c r="C265" s="8">
        <v>4</v>
      </c>
      <c r="D265" s="94" t="s">
        <v>213</v>
      </c>
      <c r="E265" s="7">
        <v>0.7</v>
      </c>
      <c r="F265" s="77">
        <f t="shared" si="71"/>
        <v>80.5</v>
      </c>
      <c r="G265" s="8">
        <f t="shared" si="68"/>
        <v>70</v>
      </c>
      <c r="H265" s="8" t="str" cm="1">
        <f t="array" ref="H265">GetColorMatchValue(F265, $F$3:$F$10)</f>
        <v>cj</v>
      </c>
      <c r="I265" s="101" t="str">
        <f t="shared" si="72"/>
        <v>&lt;tr data-section="334"&gt;&lt;td&gt;1 Set of 3 Reps&lt;/td&gt;&lt;td&gt;65%&lt;/td&gt;&lt;td&gt;${percent(cj, 65)}kg&lt;/td&gt;&lt;/tr&gt;</v>
      </c>
      <c r="L265" s="45"/>
      <c r="N265" s="62"/>
      <c r="O265" s="62"/>
    </row>
    <row r="266" spans="1:15" ht="15" customHeight="1" x14ac:dyDescent="0.25">
      <c r="A266" s="8">
        <v>3</v>
      </c>
      <c r="B266" s="8">
        <v>3</v>
      </c>
      <c r="C266" s="8">
        <v>4</v>
      </c>
      <c r="D266" s="94" t="s">
        <v>241</v>
      </c>
      <c r="E266" s="7">
        <v>0.75</v>
      </c>
      <c r="F266" s="77">
        <f t="shared" si="71"/>
        <v>86.25</v>
      </c>
      <c r="G266" s="8">
        <f t="shared" si="68"/>
        <v>75</v>
      </c>
      <c r="H266" s="8" t="str" cm="1">
        <f t="array" ref="H266">GetColorMatchValue(F266, $F$3:$F$10)</f>
        <v>cj</v>
      </c>
      <c r="I266" s="101" t="str">
        <f t="shared" si="72"/>
        <v>&lt;tr data-section="334"&gt;&lt;td&gt;1 Set of 3 Reps&lt;/td&gt;&lt;td&gt;70%&lt;/td&gt;&lt;td&gt;${percent(cj, 70)}kg&lt;/td&gt;&lt;/tr&gt;</v>
      </c>
      <c r="L266" s="45"/>
      <c r="N266" s="62"/>
      <c r="O266" s="62"/>
    </row>
    <row r="267" spans="1:15" ht="15" customHeight="1" x14ac:dyDescent="0.25">
      <c r="A267" s="8">
        <v>3</v>
      </c>
      <c r="B267" s="8">
        <v>3</v>
      </c>
      <c r="C267" s="8">
        <v>4</v>
      </c>
      <c r="D267" s="94" t="s">
        <v>213</v>
      </c>
      <c r="E267" s="7">
        <v>0.65</v>
      </c>
      <c r="F267" s="77">
        <f t="shared" si="71"/>
        <v>74.75</v>
      </c>
      <c r="G267" s="8">
        <f t="shared" si="68"/>
        <v>65</v>
      </c>
      <c r="H267" s="8" t="str" cm="1">
        <f t="array" ref="H267">GetColorMatchValue(F267, $F$3:$F$10)</f>
        <v>cj</v>
      </c>
      <c r="I267" s="101" t="str">
        <f t="shared" si="72"/>
        <v>&lt;tr data-section="334"&gt;&lt;td&gt;1 Set of 1 Reps&lt;/td&gt;&lt;td&gt;75%&lt;/td&gt;&lt;td&gt;${percent(cj, 75)}kg&lt;/td&gt;&lt;/tr&gt;</v>
      </c>
      <c r="L267" s="45"/>
      <c r="N267" s="62"/>
      <c r="O267" s="62"/>
    </row>
    <row r="268" spans="1:15" ht="15" customHeight="1" x14ac:dyDescent="0.25">
      <c r="A268" s="8">
        <v>3</v>
      </c>
      <c r="B268" s="8">
        <v>3</v>
      </c>
      <c r="C268" s="8">
        <v>4</v>
      </c>
      <c r="D268" s="94" t="s">
        <v>236</v>
      </c>
      <c r="E268" s="7">
        <v>0.7</v>
      </c>
      <c r="F268" s="77">
        <f t="shared" si="71"/>
        <v>80.5</v>
      </c>
      <c r="G268" s="8">
        <f t="shared" si="68"/>
        <v>70</v>
      </c>
      <c r="H268" s="8" t="str" cm="1">
        <f t="array" ref="H268">GetColorMatchValue(F268, $F$3:$F$10)</f>
        <v>cj</v>
      </c>
      <c r="I268" s="101" t="str">
        <f t="shared" si="72"/>
        <v>&lt;tr data-section="334"&gt;&lt;td&gt;1 Set of 3 Reps&lt;/td&gt;&lt;td&gt;65%&lt;/td&gt;&lt;td&gt;${percent(cj, 65)}kg&lt;/td&gt;&lt;/tr&gt;</v>
      </c>
      <c r="L268" s="45"/>
      <c r="N268" s="62"/>
      <c r="O268" s="62"/>
    </row>
    <row r="269" spans="1:15" ht="15" customHeight="1" x14ac:dyDescent="0.25">
      <c r="A269" s="8">
        <v>3</v>
      </c>
      <c r="B269" s="8">
        <v>3</v>
      </c>
      <c r="C269" s="8">
        <v>4</v>
      </c>
      <c r="D269" s="94"/>
      <c r="E269" s="8"/>
      <c r="F269" s="71"/>
      <c r="G269" s="8" t="str">
        <f t="shared" si="68"/>
        <v/>
      </c>
      <c r="H269" s="8" t="str" cm="1">
        <f t="array" ref="H269">GetColorMatchValue(F269, $F$3:$F$10)</f>
        <v/>
      </c>
      <c r="I269" s="96" t="s">
        <v>287</v>
      </c>
      <c r="L269" s="45"/>
      <c r="N269" s="62"/>
      <c r="O269" s="62"/>
    </row>
    <row r="270" spans="1:15" ht="15" customHeight="1" x14ac:dyDescent="0.25">
      <c r="A270" s="8">
        <v>3</v>
      </c>
      <c r="B270" s="8">
        <v>3</v>
      </c>
      <c r="C270" s="8">
        <v>5</v>
      </c>
      <c r="D270" s="93" t="s">
        <v>281</v>
      </c>
      <c r="E270" s="8"/>
      <c r="F270" s="71"/>
      <c r="G270" s="8" t="str">
        <f t="shared" si="68"/>
        <v/>
      </c>
      <c r="H270" s="8" t="str" cm="1">
        <f t="array" ref="H270">GetColorMatchValue(F270, $F$3:$F$10)</f>
        <v/>
      </c>
      <c r="I270" s="99" t="str">
        <f>"&lt;tr&gt;&lt;th colspan=""3""&gt;&lt;label&gt;"&amp;D269&amp;"&lt;input type=""checkbox"" class=""section-toggle"" data-section="""&amp;A269&amp;B269&amp;C269&amp;"""/&gt;&lt;/label&gt;&lt;/th&gt;&lt;/tr&gt;"</f>
        <v>&lt;tr&gt;&lt;th colspan="3"&gt;&lt;label&gt;&lt;input type="checkbox" class="section-toggle" data-section="334"/&gt;&lt;/label&gt;&lt;/th&gt;&lt;/tr&gt;</v>
      </c>
      <c r="L270" s="45"/>
      <c r="N270" s="62"/>
      <c r="O270" s="62"/>
    </row>
    <row r="271" spans="1:15" ht="15" customHeight="1" x14ac:dyDescent="0.25">
      <c r="A271" s="8">
        <v>3</v>
      </c>
      <c r="B271" s="8">
        <v>3</v>
      </c>
      <c r="C271" s="8">
        <v>5</v>
      </c>
      <c r="D271" s="94" t="s">
        <v>228</v>
      </c>
      <c r="E271" s="7">
        <v>0.9</v>
      </c>
      <c r="F271" s="73">
        <f t="shared" ref="F271:F282" si="73">$E$7*E271</f>
        <v>85.5</v>
      </c>
      <c r="G271" s="8">
        <f t="shared" si="68"/>
        <v>90</v>
      </c>
      <c r="H271" s="8" t="str" cm="1">
        <f t="array" ref="H271">GetColorMatchValue(F271, $F$3:$F$10)</f>
        <v>s</v>
      </c>
      <c r="I271" s="101" t="str">
        <f t="shared" ref="I271:I282" si="74">"&lt;tr data-section="""&amp;A270&amp;B270&amp;C270&amp;"""&gt;&lt;td&gt;"&amp;D270&amp;"&lt;/td&gt;&lt;td&gt;"&amp;G270&amp;"%&lt;/td&gt;&lt;td&gt;${percent("&amp;H270&amp;", "&amp;G270&amp;")}kg&lt;/td&gt;&lt;/tr&gt;"</f>
        <v>&lt;tr data-section="335"&gt;&lt;td&gt;Snatch Deadlift&lt;/td&gt;&lt;td&gt;%&lt;/td&gt;&lt;td&gt;${percent(, )}kg&lt;/td&gt;&lt;/tr&gt;</v>
      </c>
      <c r="L271" s="45"/>
      <c r="N271" s="62"/>
      <c r="O271" s="62"/>
    </row>
    <row r="272" spans="1:15" ht="15" customHeight="1" x14ac:dyDescent="0.25">
      <c r="A272" s="8">
        <v>3</v>
      </c>
      <c r="B272" s="8">
        <v>3</v>
      </c>
      <c r="C272" s="8">
        <v>5</v>
      </c>
      <c r="D272" s="94" t="s">
        <v>213</v>
      </c>
      <c r="E272" s="7">
        <v>1</v>
      </c>
      <c r="F272" s="73">
        <f t="shared" si="73"/>
        <v>95</v>
      </c>
      <c r="G272" s="8">
        <f t="shared" si="68"/>
        <v>100</v>
      </c>
      <c r="H272" s="8" t="str" cm="1">
        <f t="array" ref="H272">GetColorMatchValue(F272, $F$3:$F$10)</f>
        <v>s</v>
      </c>
      <c r="I272" s="101" t="str">
        <f t="shared" si="74"/>
        <v>&lt;tr data-section="335"&gt;&lt;td&gt;1 Set of 5 Reps&lt;/td&gt;&lt;td&gt;90%&lt;/td&gt;&lt;td&gt;${percent(s, 90)}kg&lt;/td&gt;&lt;/tr&gt;</v>
      </c>
      <c r="L272" s="45"/>
      <c r="N272" s="62"/>
      <c r="O272" s="62"/>
    </row>
    <row r="273" spans="1:15" ht="15" customHeight="1" x14ac:dyDescent="0.25">
      <c r="A273" s="8">
        <v>3</v>
      </c>
      <c r="B273" s="8">
        <v>3</v>
      </c>
      <c r="C273" s="8">
        <v>5</v>
      </c>
      <c r="D273" s="94" t="s">
        <v>236</v>
      </c>
      <c r="E273" s="7">
        <v>1.1000000000000001</v>
      </c>
      <c r="F273" s="73">
        <f t="shared" si="73"/>
        <v>104.50000000000001</v>
      </c>
      <c r="G273" s="8">
        <f t="shared" si="68"/>
        <v>110.00000000000001</v>
      </c>
      <c r="H273" s="8" t="str" cm="1">
        <f t="array" ref="H273">GetColorMatchValue(F273, $F$3:$F$10)</f>
        <v>s</v>
      </c>
      <c r="I273" s="101" t="str">
        <f t="shared" si="74"/>
        <v>&lt;tr data-section="335"&gt;&lt;td&gt;1 Set of 3 Reps&lt;/td&gt;&lt;td&gt;100%&lt;/td&gt;&lt;td&gt;${percent(s, 100)}kg&lt;/td&gt;&lt;/tr&gt;</v>
      </c>
      <c r="L273" s="45"/>
      <c r="N273" s="62"/>
      <c r="O273" s="62"/>
    </row>
    <row r="274" spans="1:15" ht="15" customHeight="1" x14ac:dyDescent="0.25">
      <c r="A274" s="8">
        <v>3</v>
      </c>
      <c r="B274" s="8">
        <v>3</v>
      </c>
      <c r="C274" s="8">
        <v>5</v>
      </c>
      <c r="D274" s="94" t="s">
        <v>228</v>
      </c>
      <c r="E274" s="7">
        <v>0.9</v>
      </c>
      <c r="F274" s="73">
        <f t="shared" si="73"/>
        <v>85.5</v>
      </c>
      <c r="G274" s="8">
        <f t="shared" si="68"/>
        <v>90</v>
      </c>
      <c r="H274" s="8" t="str" cm="1">
        <f t="array" ref="H274">GetColorMatchValue(F274, $F$3:$F$10)</f>
        <v>s</v>
      </c>
      <c r="I274" s="101" t="str">
        <f t="shared" si="74"/>
        <v>&lt;tr data-section="335"&gt;&lt;td&gt;1 Set of 2 Reps&lt;/td&gt;&lt;td&gt;110%&lt;/td&gt;&lt;td&gt;${percent(s, 110)}kg&lt;/td&gt;&lt;/tr&gt;</v>
      </c>
      <c r="L274" s="45"/>
      <c r="N274" s="62"/>
      <c r="O274" s="62"/>
    </row>
    <row r="275" spans="1:15" ht="15" customHeight="1" x14ac:dyDescent="0.25">
      <c r="A275" s="8">
        <v>3</v>
      </c>
      <c r="B275" s="8">
        <v>3</v>
      </c>
      <c r="C275" s="8">
        <v>5</v>
      </c>
      <c r="D275" s="94" t="s">
        <v>213</v>
      </c>
      <c r="E275" s="7">
        <v>1</v>
      </c>
      <c r="F275" s="73">
        <f t="shared" si="73"/>
        <v>95</v>
      </c>
      <c r="G275" s="8">
        <f t="shared" si="68"/>
        <v>100</v>
      </c>
      <c r="H275" s="8" t="str" cm="1">
        <f t="array" ref="H275">GetColorMatchValue(F275, $F$3:$F$10)</f>
        <v>s</v>
      </c>
      <c r="I275" s="101" t="str">
        <f t="shared" si="74"/>
        <v>&lt;tr data-section="335"&gt;&lt;td&gt;1 Set of 5 Reps&lt;/td&gt;&lt;td&gt;90%&lt;/td&gt;&lt;td&gt;${percent(s, 90)}kg&lt;/td&gt;&lt;/tr&gt;</v>
      </c>
      <c r="L275" s="45"/>
      <c r="N275" s="62"/>
      <c r="O275" s="62"/>
    </row>
    <row r="276" spans="1:15" ht="15" customHeight="1" x14ac:dyDescent="0.25">
      <c r="A276" s="8">
        <v>3</v>
      </c>
      <c r="B276" s="8">
        <v>3</v>
      </c>
      <c r="C276" s="8">
        <v>5</v>
      </c>
      <c r="D276" s="94" t="s">
        <v>236</v>
      </c>
      <c r="E276" s="7">
        <v>1.1000000000000001</v>
      </c>
      <c r="F276" s="73">
        <f t="shared" si="73"/>
        <v>104.50000000000001</v>
      </c>
      <c r="G276" s="8">
        <f t="shared" si="68"/>
        <v>110.00000000000001</v>
      </c>
      <c r="H276" s="8" t="str" cm="1">
        <f t="array" ref="H276">GetColorMatchValue(F276, $F$3:$F$10)</f>
        <v>s</v>
      </c>
      <c r="I276" s="101" t="str">
        <f t="shared" si="74"/>
        <v>&lt;tr data-section="335"&gt;&lt;td&gt;1 Set of 3 Reps&lt;/td&gt;&lt;td&gt;100%&lt;/td&gt;&lt;td&gt;${percent(s, 100)}kg&lt;/td&gt;&lt;/tr&gt;</v>
      </c>
      <c r="L276" s="45"/>
      <c r="N276" s="62"/>
      <c r="O276" s="62"/>
    </row>
    <row r="277" spans="1:15" ht="15" customHeight="1" x14ac:dyDescent="0.25">
      <c r="A277" s="8">
        <v>3</v>
      </c>
      <c r="B277" s="8">
        <v>3</v>
      </c>
      <c r="C277" s="8">
        <v>5</v>
      </c>
      <c r="D277" s="94" t="s">
        <v>228</v>
      </c>
      <c r="E277" s="7">
        <v>0.9</v>
      </c>
      <c r="F277" s="73">
        <f t="shared" si="73"/>
        <v>85.5</v>
      </c>
      <c r="G277" s="8">
        <f t="shared" si="68"/>
        <v>90</v>
      </c>
      <c r="H277" s="8" t="str" cm="1">
        <f t="array" ref="H277">GetColorMatchValue(F277, $F$3:$F$10)</f>
        <v>s</v>
      </c>
      <c r="I277" s="101" t="str">
        <f t="shared" si="74"/>
        <v>&lt;tr data-section="335"&gt;&lt;td&gt;1 Set of 2 Reps&lt;/td&gt;&lt;td&gt;110%&lt;/td&gt;&lt;td&gt;${percent(s, 110)}kg&lt;/td&gt;&lt;/tr&gt;</v>
      </c>
      <c r="L277" s="45"/>
      <c r="N277" s="62"/>
      <c r="O277" s="62"/>
    </row>
    <row r="278" spans="1:15" ht="15" customHeight="1" x14ac:dyDescent="0.25">
      <c r="A278" s="8">
        <v>3</v>
      </c>
      <c r="B278" s="8">
        <v>3</v>
      </c>
      <c r="C278" s="8">
        <v>5</v>
      </c>
      <c r="D278" s="94" t="s">
        <v>213</v>
      </c>
      <c r="E278" s="7">
        <v>1</v>
      </c>
      <c r="F278" s="73">
        <f t="shared" si="73"/>
        <v>95</v>
      </c>
      <c r="G278" s="8">
        <f t="shared" si="68"/>
        <v>100</v>
      </c>
      <c r="H278" s="8" t="str" cm="1">
        <f t="array" ref="H278">GetColorMatchValue(F278, $F$3:$F$10)</f>
        <v>s</v>
      </c>
      <c r="I278" s="101" t="str">
        <f t="shared" si="74"/>
        <v>&lt;tr data-section="335"&gt;&lt;td&gt;1 Set of 5 Reps&lt;/td&gt;&lt;td&gt;90%&lt;/td&gt;&lt;td&gt;${percent(s, 90)}kg&lt;/td&gt;&lt;/tr&gt;</v>
      </c>
      <c r="L278" s="45"/>
      <c r="N278" s="62"/>
      <c r="O278" s="62"/>
    </row>
    <row r="279" spans="1:15" ht="15" customHeight="1" x14ac:dyDescent="0.25">
      <c r="A279" s="8">
        <v>3</v>
      </c>
      <c r="B279" s="8">
        <v>3</v>
      </c>
      <c r="C279" s="8">
        <v>5</v>
      </c>
      <c r="D279" s="94" t="s">
        <v>236</v>
      </c>
      <c r="E279" s="7">
        <v>1.1000000000000001</v>
      </c>
      <c r="F279" s="73">
        <f t="shared" si="73"/>
        <v>104.50000000000001</v>
      </c>
      <c r="G279" s="8">
        <f t="shared" si="68"/>
        <v>110.00000000000001</v>
      </c>
      <c r="H279" s="8" t="str" cm="1">
        <f t="array" ref="H279">GetColorMatchValue(F279, $F$3:$F$10)</f>
        <v>s</v>
      </c>
      <c r="I279" s="101" t="str">
        <f t="shared" si="74"/>
        <v>&lt;tr data-section="335"&gt;&lt;td&gt;1 Set of 3 Reps&lt;/td&gt;&lt;td&gt;100%&lt;/td&gt;&lt;td&gt;${percent(s, 100)}kg&lt;/td&gt;&lt;/tr&gt;</v>
      </c>
      <c r="L279" s="45"/>
      <c r="N279" s="62"/>
      <c r="O279" s="62"/>
    </row>
    <row r="280" spans="1:15" ht="15" customHeight="1" x14ac:dyDescent="0.25">
      <c r="A280" s="8">
        <v>3</v>
      </c>
      <c r="B280" s="8">
        <v>3</v>
      </c>
      <c r="C280" s="8">
        <v>5</v>
      </c>
      <c r="D280" s="94" t="s">
        <v>228</v>
      </c>
      <c r="E280" s="7">
        <v>0.9</v>
      </c>
      <c r="F280" s="73">
        <f t="shared" si="73"/>
        <v>85.5</v>
      </c>
      <c r="G280" s="8">
        <f t="shared" si="68"/>
        <v>90</v>
      </c>
      <c r="H280" s="8" t="str" cm="1">
        <f t="array" ref="H280">GetColorMatchValue(F280, $F$3:$F$10)</f>
        <v>s</v>
      </c>
      <c r="I280" s="101" t="str">
        <f t="shared" si="74"/>
        <v>&lt;tr data-section="335"&gt;&lt;td&gt;1 Set of 2 Reps&lt;/td&gt;&lt;td&gt;110%&lt;/td&gt;&lt;td&gt;${percent(s, 110)}kg&lt;/td&gt;&lt;/tr&gt;</v>
      </c>
      <c r="L280" s="45"/>
      <c r="N280" s="62"/>
      <c r="O280" s="62"/>
    </row>
    <row r="281" spans="1:15" ht="15" customHeight="1" x14ac:dyDescent="0.25">
      <c r="A281" s="8">
        <v>3</v>
      </c>
      <c r="B281" s="8">
        <v>3</v>
      </c>
      <c r="C281" s="8">
        <v>5</v>
      </c>
      <c r="D281" s="94" t="s">
        <v>213</v>
      </c>
      <c r="E281" s="7">
        <v>1</v>
      </c>
      <c r="F281" s="73">
        <f t="shared" si="73"/>
        <v>95</v>
      </c>
      <c r="G281" s="8">
        <f t="shared" si="68"/>
        <v>100</v>
      </c>
      <c r="H281" s="8" t="str" cm="1">
        <f t="array" ref="H281">GetColorMatchValue(F281, $F$3:$F$10)</f>
        <v>s</v>
      </c>
      <c r="I281" s="101" t="str">
        <f t="shared" si="74"/>
        <v>&lt;tr data-section="335"&gt;&lt;td&gt;1 Set of 5 Reps&lt;/td&gt;&lt;td&gt;90%&lt;/td&gt;&lt;td&gt;${percent(s, 90)}kg&lt;/td&gt;&lt;/tr&gt;</v>
      </c>
      <c r="L281" s="45"/>
      <c r="N281" s="62"/>
      <c r="O281" s="62"/>
    </row>
    <row r="282" spans="1:15" ht="15.75" customHeight="1" x14ac:dyDescent="0.25">
      <c r="A282" s="8">
        <v>3</v>
      </c>
      <c r="B282" s="8">
        <v>3</v>
      </c>
      <c r="C282" s="8">
        <v>5</v>
      </c>
      <c r="D282" s="94" t="s">
        <v>236</v>
      </c>
      <c r="E282" s="7">
        <v>1.1000000000000001</v>
      </c>
      <c r="F282" s="73">
        <f t="shared" si="73"/>
        <v>104.50000000000001</v>
      </c>
      <c r="G282" s="8">
        <f t="shared" si="68"/>
        <v>110.00000000000001</v>
      </c>
      <c r="H282" s="8" t="str" cm="1">
        <f t="array" ref="H282">GetColorMatchValue(F282, $F$3:$F$10)</f>
        <v>s</v>
      </c>
      <c r="I282" s="101" t="str">
        <f t="shared" si="74"/>
        <v>&lt;tr data-section="335"&gt;&lt;td&gt;1 Set of 3 Reps&lt;/td&gt;&lt;td&gt;100%&lt;/td&gt;&lt;td&gt;${percent(s, 100)}kg&lt;/td&gt;&lt;/tr&gt;</v>
      </c>
      <c r="L282" s="45"/>
      <c r="N282" s="62"/>
      <c r="O282" s="62"/>
    </row>
    <row r="283" spans="1:15" ht="15" customHeight="1" x14ac:dyDescent="0.25">
      <c r="A283" s="8">
        <v>3</v>
      </c>
      <c r="B283" s="8">
        <v>4</v>
      </c>
      <c r="C283" s="8">
        <v>1</v>
      </c>
      <c r="D283" s="93" t="s">
        <v>0</v>
      </c>
      <c r="E283" s="8"/>
      <c r="F283" s="71"/>
      <c r="G283" s="8" t="str">
        <f t="shared" si="68"/>
        <v/>
      </c>
      <c r="H283" s="8" t="str" cm="1">
        <f t="array" ref="H283">GetColorMatchValue(F283, $F$3:$F$10)</f>
        <v/>
      </c>
      <c r="I283" s="99" t="str">
        <f>"&lt;tr&gt;&lt;th colspan=""3""&gt;&lt;label&gt;"&amp;D282&amp;"&lt;input type=""checkbox"" class=""section-toggle"" data-section="""&amp;A282&amp;B282&amp;C282&amp;"""/&gt;&lt;/label&gt;&lt;/th&gt;&lt;/tr&gt;"</f>
        <v>&lt;tr&gt;&lt;th colspan="3"&gt;&lt;label&gt;1 Set of 2 Reps&lt;input type="checkbox" class="section-toggle" data-section="335"/&gt;&lt;/label&gt;&lt;/th&gt;&lt;/tr&gt;</v>
      </c>
      <c r="L283" s="45"/>
      <c r="N283" s="62"/>
      <c r="O283" s="62"/>
    </row>
    <row r="284" spans="1:15" ht="15" customHeight="1" x14ac:dyDescent="0.25">
      <c r="A284" s="8">
        <v>3</v>
      </c>
      <c r="B284" s="8">
        <v>4</v>
      </c>
      <c r="C284" s="8">
        <v>1</v>
      </c>
      <c r="D284" s="94" t="s">
        <v>213</v>
      </c>
      <c r="E284" s="7">
        <v>0.6</v>
      </c>
      <c r="F284" s="72">
        <f>$E$3*E284</f>
        <v>120</v>
      </c>
      <c r="G284" s="8">
        <f t="shared" si="68"/>
        <v>60</v>
      </c>
      <c r="H284" s="8" t="str" cm="1">
        <f t="array" ref="H284">GetColorMatchValue(F284, $F$3:$F$10)</f>
        <v>bs</v>
      </c>
      <c r="I284" s="101" t="str">
        <f t="shared" ref="I284:I287" si="75">"&lt;tr data-section="""&amp;A283&amp;B283&amp;C283&amp;"""&gt;&lt;td&gt;"&amp;D283&amp;"&lt;/td&gt;&lt;td&gt;"&amp;G283&amp;"%&lt;/td&gt;&lt;td&gt;${percent("&amp;H283&amp;", "&amp;G283&amp;")}kg&lt;/td&gt;&lt;/tr&gt;"</f>
        <v>&lt;tr data-section="341"&gt;&lt;td&gt;Back Squat&lt;/td&gt;&lt;td&gt;%&lt;/td&gt;&lt;td&gt;${percent(, )}kg&lt;/td&gt;&lt;/tr&gt;</v>
      </c>
      <c r="L284" s="45"/>
      <c r="N284" s="62"/>
      <c r="O284" s="62"/>
    </row>
    <row r="285" spans="1:15" ht="15" customHeight="1" x14ac:dyDescent="0.25">
      <c r="A285" s="8">
        <v>3</v>
      </c>
      <c r="B285" s="8">
        <v>4</v>
      </c>
      <c r="C285" s="8">
        <v>1</v>
      </c>
      <c r="D285" s="94" t="s">
        <v>213</v>
      </c>
      <c r="E285" s="7">
        <v>0.7</v>
      </c>
      <c r="F285" s="72">
        <f t="shared" ref="F285:F287" si="76">$E$3*E285</f>
        <v>140</v>
      </c>
      <c r="G285" s="8">
        <f t="shared" si="68"/>
        <v>70</v>
      </c>
      <c r="H285" s="8" t="str" cm="1">
        <f t="array" ref="H285">GetColorMatchValue(F285, $F$3:$F$10)</f>
        <v>bs</v>
      </c>
      <c r="I285" s="101" t="str">
        <f t="shared" si="75"/>
        <v>&lt;tr data-section="341"&gt;&lt;td&gt;1 Set of 3 Reps&lt;/td&gt;&lt;td&gt;60%&lt;/td&gt;&lt;td&gt;${percent(bs, 60)}kg&lt;/td&gt;&lt;/tr&gt;</v>
      </c>
      <c r="L285" s="45"/>
      <c r="N285" s="62"/>
      <c r="O285" s="62"/>
    </row>
    <row r="286" spans="1:15" ht="15" customHeight="1" x14ac:dyDescent="0.25">
      <c r="A286" s="8">
        <v>3</v>
      </c>
      <c r="B286" s="8">
        <v>4</v>
      </c>
      <c r="C286" s="8">
        <v>1</v>
      </c>
      <c r="D286" s="94" t="s">
        <v>213</v>
      </c>
      <c r="E286" s="7">
        <v>0.8</v>
      </c>
      <c r="F286" s="72">
        <f>$E$3*E286</f>
        <v>160</v>
      </c>
      <c r="G286" s="8">
        <f t="shared" si="68"/>
        <v>80</v>
      </c>
      <c r="H286" s="8" t="str" cm="1">
        <f t="array" ref="H286">GetColorMatchValue(F286, $F$3:$F$10)</f>
        <v>bs</v>
      </c>
      <c r="I286" s="101" t="str">
        <f t="shared" si="75"/>
        <v>&lt;tr data-section="341"&gt;&lt;td&gt;1 Set of 3 Reps&lt;/td&gt;&lt;td&gt;70%&lt;/td&gt;&lt;td&gt;${percent(bs, 70)}kg&lt;/td&gt;&lt;/tr&gt;</v>
      </c>
      <c r="L286" s="45"/>
      <c r="N286" s="62"/>
      <c r="O286" s="62"/>
    </row>
    <row r="287" spans="1:15" ht="15" customHeight="1" x14ac:dyDescent="0.25">
      <c r="A287" s="8">
        <v>3</v>
      </c>
      <c r="B287" s="8">
        <v>4</v>
      </c>
      <c r="C287" s="8">
        <v>1</v>
      </c>
      <c r="D287" s="94" t="s">
        <v>239</v>
      </c>
      <c r="E287" s="7">
        <v>0.9</v>
      </c>
      <c r="F287" s="72">
        <f t="shared" si="76"/>
        <v>180</v>
      </c>
      <c r="G287" s="8">
        <f t="shared" si="68"/>
        <v>90</v>
      </c>
      <c r="H287" s="8" t="str" cm="1">
        <f t="array" ref="H287">GetColorMatchValue(F287, $F$3:$F$10)</f>
        <v>bs</v>
      </c>
      <c r="I287" s="101" t="str">
        <f t="shared" si="75"/>
        <v>&lt;tr data-section="341"&gt;&lt;td&gt;1 Set of 3 Reps&lt;/td&gt;&lt;td&gt;80%&lt;/td&gt;&lt;td&gt;${percent(bs, 80)}kg&lt;/td&gt;&lt;/tr&gt;</v>
      </c>
      <c r="L287" s="45"/>
      <c r="N287" s="62"/>
      <c r="O287" s="62"/>
    </row>
    <row r="288" spans="1:15" ht="15" customHeight="1" x14ac:dyDescent="0.25">
      <c r="A288" s="8">
        <v>3</v>
      </c>
      <c r="B288" s="8">
        <v>4</v>
      </c>
      <c r="C288" s="8">
        <v>1</v>
      </c>
      <c r="D288" s="94"/>
      <c r="E288" s="8"/>
      <c r="F288" s="71"/>
      <c r="G288" s="8" t="str">
        <f t="shared" si="68"/>
        <v/>
      </c>
      <c r="H288" s="8" t="str" cm="1">
        <f t="array" ref="H288">GetColorMatchValue(F288, $F$3:$F$10)</f>
        <v/>
      </c>
      <c r="I288" s="96" t="s">
        <v>287</v>
      </c>
      <c r="L288" s="45"/>
      <c r="N288" s="62"/>
      <c r="O288" s="62"/>
    </row>
    <row r="289" spans="1:15" ht="15" customHeight="1" x14ac:dyDescent="0.25">
      <c r="A289" s="8">
        <v>3</v>
      </c>
      <c r="B289" s="8">
        <v>4</v>
      </c>
      <c r="C289" s="8">
        <v>2</v>
      </c>
      <c r="D289" s="93" t="s">
        <v>1</v>
      </c>
      <c r="E289" s="8"/>
      <c r="F289" s="71"/>
      <c r="G289" s="8" t="str">
        <f t="shared" si="68"/>
        <v/>
      </c>
      <c r="H289" s="8" t="str" cm="1">
        <f t="array" ref="H289">GetColorMatchValue(F289, $F$3:$F$10)</f>
        <v/>
      </c>
      <c r="I289" s="99" t="str">
        <f>"&lt;tr&gt;&lt;th colspan=""3""&gt;&lt;label&gt;"&amp;D288&amp;"&lt;input type=""checkbox"" class=""section-toggle"" data-section="""&amp;A288&amp;B288&amp;C288&amp;"""/&gt;&lt;/label&gt;&lt;/th&gt;&lt;/tr&gt;"</f>
        <v>&lt;tr&gt;&lt;th colspan="3"&gt;&lt;label&gt;&lt;input type="checkbox" class="section-toggle" data-section="341"/&gt;&lt;/label&gt;&lt;/th&gt;&lt;/tr&gt;</v>
      </c>
      <c r="L289" s="45"/>
      <c r="N289" s="62"/>
      <c r="O289" s="62"/>
    </row>
    <row r="290" spans="1:15" ht="15" customHeight="1" x14ac:dyDescent="0.25">
      <c r="A290" s="8">
        <v>3</v>
      </c>
      <c r="B290" s="8">
        <v>4</v>
      </c>
      <c r="C290" s="8">
        <v>2</v>
      </c>
      <c r="D290" s="94" t="s">
        <v>213</v>
      </c>
      <c r="E290" s="7">
        <v>0.6</v>
      </c>
      <c r="F290" s="73">
        <f t="shared" ref="F290:F296" si="77">$E$7*E290</f>
        <v>57</v>
      </c>
      <c r="G290" s="8">
        <f t="shared" si="68"/>
        <v>60</v>
      </c>
      <c r="H290" s="8" t="str" cm="1">
        <f t="array" ref="H290">GetColorMatchValue(F290, $F$3:$F$10)</f>
        <v>s</v>
      </c>
      <c r="I290" s="101" t="str">
        <f t="shared" ref="I290:I296" si="78">"&lt;tr data-section="""&amp;A289&amp;B289&amp;C289&amp;"""&gt;&lt;td&gt;"&amp;D289&amp;"&lt;/td&gt;&lt;td&gt;"&amp;G289&amp;"%&lt;/td&gt;&lt;td&gt;${percent("&amp;H289&amp;", "&amp;G289&amp;")}kg&lt;/td&gt;&lt;/tr&gt;"</f>
        <v>&lt;tr data-section="342"&gt;&lt;td&gt;Power Snatch&lt;/td&gt;&lt;td&gt;%&lt;/td&gt;&lt;td&gt;${percent(, )}kg&lt;/td&gt;&lt;/tr&gt;</v>
      </c>
      <c r="L290" s="45"/>
      <c r="N290" s="62"/>
      <c r="O290" s="62"/>
    </row>
    <row r="291" spans="1:15" ht="15" customHeight="1" x14ac:dyDescent="0.25">
      <c r="A291" s="8">
        <v>3</v>
      </c>
      <c r="B291" s="8">
        <v>4</v>
      </c>
      <c r="C291" s="8">
        <v>2</v>
      </c>
      <c r="D291" s="94" t="s">
        <v>213</v>
      </c>
      <c r="E291" s="7">
        <v>0.65</v>
      </c>
      <c r="F291" s="73">
        <f t="shared" si="77"/>
        <v>61.75</v>
      </c>
      <c r="G291" s="8">
        <f t="shared" si="68"/>
        <v>65</v>
      </c>
      <c r="H291" s="8" t="str" cm="1">
        <f t="array" ref="H291">GetColorMatchValue(F291, $F$3:$F$10)</f>
        <v>s</v>
      </c>
      <c r="I291" s="101" t="str">
        <f t="shared" si="78"/>
        <v>&lt;tr data-section="342"&gt;&lt;td&gt;1 Set of 3 Reps&lt;/td&gt;&lt;td&gt;60%&lt;/td&gt;&lt;td&gt;${percent(s, 60)}kg&lt;/td&gt;&lt;/tr&gt;</v>
      </c>
      <c r="L291" s="45"/>
      <c r="N291" s="62"/>
      <c r="O291" s="62"/>
    </row>
    <row r="292" spans="1:15" ht="15" customHeight="1" x14ac:dyDescent="0.25">
      <c r="A292" s="8">
        <v>3</v>
      </c>
      <c r="B292" s="8">
        <v>4</v>
      </c>
      <c r="C292" s="8">
        <v>2</v>
      </c>
      <c r="D292" s="94" t="s">
        <v>213</v>
      </c>
      <c r="E292" s="7">
        <v>0.7</v>
      </c>
      <c r="F292" s="73">
        <f t="shared" si="77"/>
        <v>66.5</v>
      </c>
      <c r="G292" s="8">
        <f t="shared" si="68"/>
        <v>70</v>
      </c>
      <c r="H292" s="8" t="str" cm="1">
        <f t="array" ref="H292">GetColorMatchValue(F292, $F$3:$F$10)</f>
        <v>s</v>
      </c>
      <c r="I292" s="101" t="str">
        <f t="shared" si="78"/>
        <v>&lt;tr data-section="342"&gt;&lt;td&gt;1 Set of 3 Reps&lt;/td&gt;&lt;td&gt;65%&lt;/td&gt;&lt;td&gt;${percent(s, 65)}kg&lt;/td&gt;&lt;/tr&gt;</v>
      </c>
      <c r="L292" s="45"/>
      <c r="N292" s="62"/>
      <c r="O292" s="62"/>
    </row>
    <row r="293" spans="1:15" ht="15" customHeight="1" x14ac:dyDescent="0.25">
      <c r="A293" s="8">
        <v>3</v>
      </c>
      <c r="B293" s="8">
        <v>4</v>
      </c>
      <c r="C293" s="8">
        <v>2</v>
      </c>
      <c r="D293" s="94" t="s">
        <v>212</v>
      </c>
      <c r="E293" s="7">
        <v>0.75</v>
      </c>
      <c r="F293" s="73">
        <f t="shared" si="77"/>
        <v>71.25</v>
      </c>
      <c r="G293" s="8">
        <f t="shared" si="68"/>
        <v>75</v>
      </c>
      <c r="H293" s="8" t="str" cm="1">
        <f t="array" ref="H293">GetColorMatchValue(F293, $F$3:$F$10)</f>
        <v>s</v>
      </c>
      <c r="I293" s="101" t="str">
        <f t="shared" si="78"/>
        <v>&lt;tr data-section="342"&gt;&lt;td&gt;1 Set of 3 Reps&lt;/td&gt;&lt;td&gt;70%&lt;/td&gt;&lt;td&gt;${percent(s, 70)}kg&lt;/td&gt;&lt;/tr&gt;</v>
      </c>
      <c r="L293" s="45"/>
      <c r="N293" s="62"/>
      <c r="O293" s="62"/>
    </row>
    <row r="294" spans="1:15" ht="15" customHeight="1" x14ac:dyDescent="0.25">
      <c r="A294" s="8">
        <v>3</v>
      </c>
      <c r="B294" s="8">
        <v>4</v>
      </c>
      <c r="C294" s="8">
        <v>2</v>
      </c>
      <c r="D294" s="94" t="s">
        <v>213</v>
      </c>
      <c r="E294" s="7">
        <v>0.6</v>
      </c>
      <c r="F294" s="73">
        <f t="shared" si="77"/>
        <v>57</v>
      </c>
      <c r="G294" s="8">
        <f t="shared" si="68"/>
        <v>60</v>
      </c>
      <c r="H294" s="8" t="str" cm="1">
        <f t="array" ref="H294">GetColorMatchValue(F294, $F$3:$F$10)</f>
        <v>s</v>
      </c>
      <c r="I294" s="101" t="str">
        <f t="shared" si="78"/>
        <v>&lt;tr data-section="342"&gt;&lt;td&gt;1 Set of 1 Rep&lt;/td&gt;&lt;td&gt;75%&lt;/td&gt;&lt;td&gt;${percent(s, 75)}kg&lt;/td&gt;&lt;/tr&gt;</v>
      </c>
      <c r="L294" s="45"/>
      <c r="N294" s="62"/>
      <c r="O294" s="62"/>
    </row>
    <row r="295" spans="1:15" ht="15" customHeight="1" x14ac:dyDescent="0.25">
      <c r="A295" s="8">
        <v>3</v>
      </c>
      <c r="B295" s="8">
        <v>4</v>
      </c>
      <c r="C295" s="8">
        <v>2</v>
      </c>
      <c r="D295" s="94" t="s">
        <v>213</v>
      </c>
      <c r="E295" s="7">
        <v>0.65</v>
      </c>
      <c r="F295" s="73">
        <f t="shared" si="77"/>
        <v>61.75</v>
      </c>
      <c r="G295" s="8">
        <f t="shared" si="68"/>
        <v>65</v>
      </c>
      <c r="H295" s="8" t="str" cm="1">
        <f t="array" ref="H295">GetColorMatchValue(F295, $F$3:$F$10)</f>
        <v>s</v>
      </c>
      <c r="I295" s="101" t="str">
        <f t="shared" si="78"/>
        <v>&lt;tr data-section="342"&gt;&lt;td&gt;1 Set of 3 Reps&lt;/td&gt;&lt;td&gt;60%&lt;/td&gt;&lt;td&gt;${percent(s, 60)}kg&lt;/td&gt;&lt;/tr&gt;</v>
      </c>
      <c r="L295" s="45"/>
      <c r="N295" s="62"/>
      <c r="O295" s="62"/>
    </row>
    <row r="296" spans="1:15" ht="15" customHeight="1" x14ac:dyDescent="0.25">
      <c r="A296" s="8">
        <v>3</v>
      </c>
      <c r="B296" s="8">
        <v>4</v>
      </c>
      <c r="C296" s="8">
        <v>2</v>
      </c>
      <c r="D296" s="94" t="s">
        <v>213</v>
      </c>
      <c r="E296" s="7">
        <v>0.7</v>
      </c>
      <c r="F296" s="73">
        <f t="shared" si="77"/>
        <v>66.5</v>
      </c>
      <c r="G296" s="8">
        <f t="shared" si="68"/>
        <v>70</v>
      </c>
      <c r="H296" s="8" t="str" cm="1">
        <f t="array" ref="H296">GetColorMatchValue(F296, $F$3:$F$10)</f>
        <v>s</v>
      </c>
      <c r="I296" s="101" t="str">
        <f t="shared" si="78"/>
        <v>&lt;tr data-section="342"&gt;&lt;td&gt;1 Set of 3 Reps&lt;/td&gt;&lt;td&gt;65%&lt;/td&gt;&lt;td&gt;${percent(s, 65)}kg&lt;/td&gt;&lt;/tr&gt;</v>
      </c>
      <c r="L296" s="45"/>
      <c r="N296" s="62"/>
      <c r="O296" s="62"/>
    </row>
    <row r="297" spans="1:15" ht="15" customHeight="1" x14ac:dyDescent="0.25">
      <c r="A297" s="8">
        <v>3</v>
      </c>
      <c r="B297" s="8">
        <v>4</v>
      </c>
      <c r="C297" s="8">
        <v>2</v>
      </c>
      <c r="D297" s="94"/>
      <c r="E297" s="8"/>
      <c r="F297" s="71"/>
      <c r="G297" s="8" t="str">
        <f t="shared" si="68"/>
        <v/>
      </c>
      <c r="H297" s="8" t="str" cm="1">
        <f t="array" ref="H297">GetColorMatchValue(F297, $F$3:$F$10)</f>
        <v/>
      </c>
      <c r="I297" s="96" t="s">
        <v>287</v>
      </c>
      <c r="L297" s="45"/>
      <c r="N297" s="62"/>
      <c r="O297" s="62"/>
    </row>
    <row r="298" spans="1:15" ht="15" customHeight="1" x14ac:dyDescent="0.25">
      <c r="A298" s="8">
        <v>3</v>
      </c>
      <c r="B298" s="8">
        <v>4</v>
      </c>
      <c r="C298" s="8">
        <v>3</v>
      </c>
      <c r="D298" s="93" t="s">
        <v>50</v>
      </c>
      <c r="E298" s="8"/>
      <c r="F298" s="71"/>
      <c r="G298" s="8" t="str">
        <f t="shared" si="68"/>
        <v/>
      </c>
      <c r="H298" s="8" t="str" cm="1">
        <f t="array" ref="H298">GetColorMatchValue(F298, $F$3:$F$10)</f>
        <v/>
      </c>
      <c r="I298" s="99" t="str">
        <f>"&lt;tr&gt;&lt;th colspan=""3""&gt;&lt;label&gt;"&amp;D297&amp;"&lt;input type=""checkbox"" class=""section-toggle"" data-section="""&amp;A297&amp;B297&amp;C297&amp;"""/&gt;&lt;/label&gt;&lt;/th&gt;&lt;/tr&gt;"</f>
        <v>&lt;tr&gt;&lt;th colspan="3"&gt;&lt;label&gt;&lt;input type="checkbox" class="section-toggle" data-section="342"/&gt;&lt;/label&gt;&lt;/th&gt;&lt;/tr&gt;</v>
      </c>
      <c r="L298" s="45"/>
      <c r="N298" s="62"/>
      <c r="O298" s="62"/>
    </row>
    <row r="299" spans="1:15" ht="15" customHeight="1" x14ac:dyDescent="0.25">
      <c r="A299" s="8">
        <v>3</v>
      </c>
      <c r="B299" s="8">
        <v>4</v>
      </c>
      <c r="C299" s="8">
        <v>3</v>
      </c>
      <c r="D299" s="94" t="s">
        <v>213</v>
      </c>
      <c r="E299" s="7">
        <v>0.6</v>
      </c>
      <c r="F299" s="75">
        <f t="shared" ref="F299:F304" si="79">$E$6*E299</f>
        <v>66</v>
      </c>
      <c r="G299" s="8">
        <f t="shared" si="68"/>
        <v>60</v>
      </c>
      <c r="H299" s="8" t="str" cm="1">
        <f t="array" ref="H299">GetColorMatchValue(F299, $F$3:$F$10)</f>
        <v>c</v>
      </c>
      <c r="I299" s="101" t="str">
        <f t="shared" ref="I299:I304" si="80">"&lt;tr data-section="""&amp;A298&amp;B298&amp;C298&amp;"""&gt;&lt;td&gt;"&amp;D298&amp;"&lt;/td&gt;&lt;td&gt;"&amp;G298&amp;"%&lt;/td&gt;&lt;td&gt;${percent("&amp;H298&amp;", "&amp;G298&amp;")}kg&lt;/td&gt;&lt;/tr&gt;"</f>
        <v>&lt;tr data-section="343"&gt;&lt;td&gt;Power Clean&lt;/td&gt;&lt;td&gt;%&lt;/td&gt;&lt;td&gt;${percent(, )}kg&lt;/td&gt;&lt;/tr&gt;</v>
      </c>
      <c r="L299" s="45"/>
      <c r="N299" s="62"/>
      <c r="O299" s="62"/>
    </row>
    <row r="300" spans="1:15" ht="15" customHeight="1" x14ac:dyDescent="0.25">
      <c r="A300" s="8">
        <v>3</v>
      </c>
      <c r="B300" s="8">
        <v>4</v>
      </c>
      <c r="C300" s="8">
        <v>3</v>
      </c>
      <c r="D300" s="94" t="s">
        <v>213</v>
      </c>
      <c r="E300" s="7">
        <v>0.65</v>
      </c>
      <c r="F300" s="75">
        <f t="shared" si="79"/>
        <v>71.5</v>
      </c>
      <c r="G300" s="8">
        <f t="shared" si="68"/>
        <v>65</v>
      </c>
      <c r="H300" s="8" t="str" cm="1">
        <f t="array" ref="H300">GetColorMatchValue(F300, $F$3:$F$10)</f>
        <v>c</v>
      </c>
      <c r="I300" s="101" t="str">
        <f t="shared" si="80"/>
        <v>&lt;tr data-section="343"&gt;&lt;td&gt;1 Set of 3 Reps&lt;/td&gt;&lt;td&gt;60%&lt;/td&gt;&lt;td&gt;${percent(c, 60)}kg&lt;/td&gt;&lt;/tr&gt;</v>
      </c>
      <c r="L300" s="45"/>
      <c r="N300" s="62"/>
      <c r="O300" s="62"/>
    </row>
    <row r="301" spans="1:15" ht="15" customHeight="1" x14ac:dyDescent="0.25">
      <c r="A301" s="8">
        <v>3</v>
      </c>
      <c r="B301" s="8">
        <v>4</v>
      </c>
      <c r="C301" s="8">
        <v>3</v>
      </c>
      <c r="D301" s="94" t="s">
        <v>213</v>
      </c>
      <c r="E301" s="7">
        <v>0.7</v>
      </c>
      <c r="F301" s="75">
        <f t="shared" si="79"/>
        <v>77</v>
      </c>
      <c r="G301" s="8">
        <f t="shared" si="68"/>
        <v>70</v>
      </c>
      <c r="H301" s="8" t="str" cm="1">
        <f t="array" ref="H301">GetColorMatchValue(F301, $F$3:$F$10)</f>
        <v>c</v>
      </c>
      <c r="I301" s="101" t="str">
        <f t="shared" si="80"/>
        <v>&lt;tr data-section="343"&gt;&lt;td&gt;1 Set of 3 Reps&lt;/td&gt;&lt;td&gt;65%&lt;/td&gt;&lt;td&gt;${percent(c, 65)}kg&lt;/td&gt;&lt;/tr&gt;</v>
      </c>
      <c r="L301" s="45"/>
      <c r="N301" s="62"/>
      <c r="O301" s="62"/>
    </row>
    <row r="302" spans="1:15" ht="15" customHeight="1" x14ac:dyDescent="0.25">
      <c r="A302" s="8">
        <v>3</v>
      </c>
      <c r="B302" s="8">
        <v>4</v>
      </c>
      <c r="C302" s="8">
        <v>3</v>
      </c>
      <c r="D302" s="94" t="s">
        <v>212</v>
      </c>
      <c r="E302" s="7">
        <v>0.75</v>
      </c>
      <c r="F302" s="75">
        <f t="shared" si="79"/>
        <v>82.5</v>
      </c>
      <c r="G302" s="8">
        <f t="shared" si="68"/>
        <v>75</v>
      </c>
      <c r="H302" s="8" t="str" cm="1">
        <f t="array" ref="H302">GetColorMatchValue(F302, $F$3:$F$10)</f>
        <v>c</v>
      </c>
      <c r="I302" s="101" t="str">
        <f t="shared" si="80"/>
        <v>&lt;tr data-section="343"&gt;&lt;td&gt;1 Set of 3 Reps&lt;/td&gt;&lt;td&gt;70%&lt;/td&gt;&lt;td&gt;${percent(c, 70)}kg&lt;/td&gt;&lt;/tr&gt;</v>
      </c>
      <c r="L302" s="45"/>
      <c r="N302" s="62"/>
      <c r="O302" s="62"/>
    </row>
    <row r="303" spans="1:15" ht="15" customHeight="1" x14ac:dyDescent="0.25">
      <c r="A303" s="8">
        <v>3</v>
      </c>
      <c r="B303" s="8">
        <v>4</v>
      </c>
      <c r="C303" s="8">
        <v>3</v>
      </c>
      <c r="D303" s="94" t="s">
        <v>213</v>
      </c>
      <c r="E303" s="7">
        <v>0.6</v>
      </c>
      <c r="F303" s="75">
        <f t="shared" si="79"/>
        <v>66</v>
      </c>
      <c r="G303" s="8">
        <f t="shared" si="68"/>
        <v>60</v>
      </c>
      <c r="H303" s="8" t="str" cm="1">
        <f t="array" ref="H303">GetColorMatchValue(F303, $F$3:$F$10)</f>
        <v>c</v>
      </c>
      <c r="I303" s="101" t="str">
        <f t="shared" si="80"/>
        <v>&lt;tr data-section="343"&gt;&lt;td&gt;1 Set of 1 Rep&lt;/td&gt;&lt;td&gt;75%&lt;/td&gt;&lt;td&gt;${percent(c, 75)}kg&lt;/td&gt;&lt;/tr&gt;</v>
      </c>
      <c r="L303" s="45"/>
      <c r="N303" s="62"/>
      <c r="O303" s="62"/>
    </row>
    <row r="304" spans="1:15" ht="15" customHeight="1" x14ac:dyDescent="0.25">
      <c r="A304" s="8">
        <v>3</v>
      </c>
      <c r="B304" s="8">
        <v>4</v>
      </c>
      <c r="C304" s="8">
        <v>3</v>
      </c>
      <c r="D304" s="94" t="s">
        <v>213</v>
      </c>
      <c r="E304" s="7">
        <v>0.65</v>
      </c>
      <c r="F304" s="75">
        <f t="shared" si="79"/>
        <v>71.5</v>
      </c>
      <c r="G304" s="8">
        <f t="shared" si="68"/>
        <v>65</v>
      </c>
      <c r="H304" s="8" t="str" cm="1">
        <f t="array" ref="H304">GetColorMatchValue(F304, $F$3:$F$10)</f>
        <v>c</v>
      </c>
      <c r="I304" s="101" t="str">
        <f t="shared" si="80"/>
        <v>&lt;tr data-section="343"&gt;&lt;td&gt;1 Set of 3 Reps&lt;/td&gt;&lt;td&gt;60%&lt;/td&gt;&lt;td&gt;${percent(c, 60)}kg&lt;/td&gt;&lt;/tr&gt;</v>
      </c>
      <c r="L304" s="45"/>
      <c r="N304" s="62"/>
      <c r="O304" s="62"/>
    </row>
    <row r="305" spans="1:15" ht="15" customHeight="1" x14ac:dyDescent="0.25">
      <c r="A305" s="8">
        <v>3</v>
      </c>
      <c r="B305" s="8">
        <v>4</v>
      </c>
      <c r="C305" s="8">
        <v>3</v>
      </c>
      <c r="D305" s="94"/>
      <c r="E305" s="8"/>
      <c r="F305" s="71"/>
      <c r="G305" s="8" t="str">
        <f t="shared" si="68"/>
        <v/>
      </c>
      <c r="H305" s="8" t="str" cm="1">
        <f t="array" ref="H305">GetColorMatchValue(F305, $F$3:$F$10)</f>
        <v/>
      </c>
      <c r="I305" s="96" t="s">
        <v>287</v>
      </c>
      <c r="L305" s="45"/>
      <c r="N305" s="62"/>
      <c r="O305" s="62"/>
    </row>
    <row r="306" spans="1:15" ht="15" customHeight="1" x14ac:dyDescent="0.25">
      <c r="A306" s="8">
        <v>3</v>
      </c>
      <c r="B306" s="8">
        <v>4</v>
      </c>
      <c r="C306" s="8">
        <v>4</v>
      </c>
      <c r="D306" s="93" t="s">
        <v>86</v>
      </c>
      <c r="E306" s="8"/>
      <c r="F306" s="71"/>
      <c r="G306" s="8" t="str">
        <f t="shared" si="68"/>
        <v/>
      </c>
      <c r="H306" s="8" t="str" cm="1">
        <f t="array" ref="H306">GetColorMatchValue(F306, $F$3:$F$10)</f>
        <v/>
      </c>
      <c r="I306" s="99" t="str">
        <f>"&lt;tr&gt;&lt;th colspan=""3""&gt;&lt;label&gt;"&amp;D305&amp;"&lt;input type=""checkbox"" class=""section-toggle"" data-section="""&amp;A305&amp;B305&amp;C305&amp;"""/&gt;&lt;/label&gt;&lt;/th&gt;&lt;/tr&gt;"</f>
        <v>&lt;tr&gt;&lt;th colspan="3"&gt;&lt;label&gt;&lt;input type="checkbox" class="section-toggle" data-section="343"/&gt;&lt;/label&gt;&lt;/th&gt;&lt;/tr&gt;</v>
      </c>
      <c r="L306" s="45"/>
      <c r="N306" s="62"/>
      <c r="O306" s="62"/>
    </row>
    <row r="307" spans="1:15" ht="15" customHeight="1" x14ac:dyDescent="0.25">
      <c r="A307" s="8">
        <v>3</v>
      </c>
      <c r="B307" s="8">
        <v>4</v>
      </c>
      <c r="C307" s="8">
        <v>4</v>
      </c>
      <c r="D307" s="94" t="s">
        <v>220</v>
      </c>
      <c r="E307" s="7">
        <v>0.9</v>
      </c>
      <c r="F307" s="75">
        <f t="shared" ref="F307:F311" si="81">$E$6*E307</f>
        <v>99</v>
      </c>
      <c r="G307" s="8">
        <f t="shared" si="68"/>
        <v>90</v>
      </c>
      <c r="H307" s="8" t="str" cm="1">
        <f t="array" ref="H307">GetColorMatchValue(F307, $F$3:$F$10)</f>
        <v>c</v>
      </c>
      <c r="I307" s="101" t="str">
        <f t="shared" ref="I307:I311" si="82">"&lt;tr data-section="""&amp;A306&amp;B306&amp;C306&amp;"""&gt;&lt;td&gt;"&amp;D306&amp;"&lt;/td&gt;&lt;td&gt;"&amp;G306&amp;"%&lt;/td&gt;&lt;td&gt;${percent("&amp;H306&amp;", "&amp;G306&amp;")}kg&lt;/td&gt;&lt;/tr&gt;"</f>
        <v>&lt;tr data-section="344"&gt;&lt;td&gt;Clean Pulls &lt;/td&gt;&lt;td&gt;%&lt;/td&gt;&lt;td&gt;${percent(, )}kg&lt;/td&gt;&lt;/tr&gt;</v>
      </c>
      <c r="L307" s="45"/>
      <c r="N307" s="62"/>
      <c r="O307" s="62"/>
    </row>
    <row r="308" spans="1:15" ht="15" customHeight="1" x14ac:dyDescent="0.25">
      <c r="A308" s="8">
        <v>3</v>
      </c>
      <c r="B308" s="8">
        <v>4</v>
      </c>
      <c r="C308" s="8">
        <v>4</v>
      </c>
      <c r="D308" s="94" t="s">
        <v>213</v>
      </c>
      <c r="E308" s="7">
        <v>1</v>
      </c>
      <c r="F308" s="75">
        <f t="shared" si="81"/>
        <v>110</v>
      </c>
      <c r="G308" s="8">
        <f t="shared" si="68"/>
        <v>100</v>
      </c>
      <c r="H308" s="8" t="str" cm="1">
        <f t="array" ref="H308">GetColorMatchValue(F308, $F$3:$F$10)</f>
        <v>c</v>
      </c>
      <c r="I308" s="101" t="str">
        <f t="shared" si="82"/>
        <v>&lt;tr data-section="344"&gt;&lt;td&gt;1 Set of 4 Reps&lt;/td&gt;&lt;td&gt;90%&lt;/td&gt;&lt;td&gt;${percent(c, 90)}kg&lt;/td&gt;&lt;/tr&gt;</v>
      </c>
      <c r="L308" s="45"/>
      <c r="N308" s="62"/>
      <c r="O308" s="62"/>
    </row>
    <row r="309" spans="1:15" ht="15" customHeight="1" x14ac:dyDescent="0.25">
      <c r="A309" s="8">
        <v>3</v>
      </c>
      <c r="B309" s="8">
        <v>4</v>
      </c>
      <c r="C309" s="8">
        <v>4</v>
      </c>
      <c r="D309" s="94" t="s">
        <v>220</v>
      </c>
      <c r="E309" s="7">
        <v>0.9</v>
      </c>
      <c r="F309" s="75">
        <f t="shared" si="81"/>
        <v>99</v>
      </c>
      <c r="G309" s="8">
        <f t="shared" si="68"/>
        <v>90</v>
      </c>
      <c r="H309" s="8" t="str" cm="1">
        <f t="array" ref="H309">GetColorMatchValue(F309, $F$3:$F$10)</f>
        <v>c</v>
      </c>
      <c r="I309" s="101" t="str">
        <f t="shared" si="82"/>
        <v>&lt;tr data-section="344"&gt;&lt;td&gt;1 Set of 3 Reps&lt;/td&gt;&lt;td&gt;100%&lt;/td&gt;&lt;td&gt;${percent(c, 100)}kg&lt;/td&gt;&lt;/tr&gt;</v>
      </c>
      <c r="L309" s="45"/>
      <c r="N309" s="62"/>
      <c r="O309" s="62"/>
    </row>
    <row r="310" spans="1:15" ht="15" customHeight="1" x14ac:dyDescent="0.25">
      <c r="A310" s="8">
        <v>3</v>
      </c>
      <c r="B310" s="8">
        <v>4</v>
      </c>
      <c r="C310" s="8">
        <v>4</v>
      </c>
      <c r="D310" s="94" t="s">
        <v>236</v>
      </c>
      <c r="E310" s="7">
        <v>1</v>
      </c>
      <c r="F310" s="75">
        <f t="shared" si="81"/>
        <v>110</v>
      </c>
      <c r="G310" s="8">
        <f t="shared" si="68"/>
        <v>100</v>
      </c>
      <c r="H310" s="8" t="str" cm="1">
        <f t="array" ref="H310">GetColorMatchValue(F310, $F$3:$F$10)</f>
        <v>c</v>
      </c>
      <c r="I310" s="101" t="str">
        <f t="shared" si="82"/>
        <v>&lt;tr data-section="344"&gt;&lt;td&gt;1 Set of 4 Reps&lt;/td&gt;&lt;td&gt;90%&lt;/td&gt;&lt;td&gt;${percent(c, 90)}kg&lt;/td&gt;&lt;/tr&gt;</v>
      </c>
      <c r="L310" s="45"/>
      <c r="N310" s="62"/>
      <c r="O310" s="62"/>
    </row>
    <row r="311" spans="1:15" ht="15" customHeight="1" x14ac:dyDescent="0.25">
      <c r="A311" s="8">
        <v>3</v>
      </c>
      <c r="B311" s="8">
        <v>4</v>
      </c>
      <c r="C311" s="8">
        <v>4</v>
      </c>
      <c r="D311" s="94" t="s">
        <v>220</v>
      </c>
      <c r="E311" s="7">
        <v>0.9</v>
      </c>
      <c r="F311" s="75">
        <f t="shared" si="81"/>
        <v>99</v>
      </c>
      <c r="G311" s="8">
        <f t="shared" si="68"/>
        <v>90</v>
      </c>
      <c r="H311" s="8" t="str" cm="1">
        <f t="array" ref="H311">GetColorMatchValue(F311, $F$3:$F$10)</f>
        <v>c</v>
      </c>
      <c r="I311" s="101" t="str">
        <f t="shared" si="82"/>
        <v>&lt;tr data-section="344"&gt;&lt;td&gt;1 Set of 2 Reps&lt;/td&gt;&lt;td&gt;100%&lt;/td&gt;&lt;td&gt;${percent(c, 100)}kg&lt;/td&gt;&lt;/tr&gt;</v>
      </c>
      <c r="L311" s="45"/>
      <c r="N311" s="62"/>
      <c r="O311" s="62"/>
    </row>
    <row r="312" spans="1:15" ht="15" customHeight="1" x14ac:dyDescent="0.25">
      <c r="A312" s="8">
        <v>3</v>
      </c>
      <c r="B312" s="8">
        <v>4</v>
      </c>
      <c r="C312" s="8">
        <v>4</v>
      </c>
      <c r="D312" s="94"/>
      <c r="E312" s="8"/>
      <c r="F312" s="71"/>
      <c r="G312" s="8" t="str">
        <f t="shared" si="68"/>
        <v/>
      </c>
      <c r="H312" s="8" t="str" cm="1">
        <f t="array" ref="H312">GetColorMatchValue(F312, $F$3:$F$10)</f>
        <v/>
      </c>
      <c r="I312" s="96" t="s">
        <v>287</v>
      </c>
      <c r="L312" s="45"/>
      <c r="N312" s="62"/>
      <c r="O312" s="62"/>
    </row>
    <row r="313" spans="1:15" ht="15" customHeight="1" x14ac:dyDescent="0.25">
      <c r="A313" s="8">
        <v>3</v>
      </c>
      <c r="B313" s="8">
        <v>4</v>
      </c>
      <c r="C313" s="8">
        <v>5</v>
      </c>
      <c r="D313" s="93" t="s">
        <v>51</v>
      </c>
      <c r="E313" s="8"/>
      <c r="F313" s="71"/>
      <c r="G313" s="8" t="str">
        <f t="shared" si="68"/>
        <v/>
      </c>
      <c r="H313" s="8" t="str" cm="1">
        <f t="array" ref="H313">GetColorMatchValue(F313, $F$3:$F$10)</f>
        <v/>
      </c>
      <c r="I313" s="99" t="str">
        <f>"&lt;tr&gt;&lt;th colspan=""3""&gt;&lt;label&gt;"&amp;D312&amp;"&lt;input type=""checkbox"" class=""section-toggle"" data-section="""&amp;A312&amp;B312&amp;C312&amp;"""/&gt;&lt;/label&gt;&lt;/th&gt;&lt;/tr&gt;"</f>
        <v>&lt;tr&gt;&lt;th colspan="3"&gt;&lt;label&gt;&lt;input type="checkbox" class="section-toggle" data-section="344"/&gt;&lt;/label&gt;&lt;/th&gt;&lt;/tr&gt;</v>
      </c>
      <c r="L313" s="45"/>
      <c r="N313" s="62"/>
      <c r="O313" s="62"/>
    </row>
    <row r="314" spans="1:15" ht="15" customHeight="1" x14ac:dyDescent="0.25">
      <c r="A314" s="8">
        <v>3</v>
      </c>
      <c r="B314" s="8">
        <v>4</v>
      </c>
      <c r="C314" s="8">
        <v>5</v>
      </c>
      <c r="D314" s="94" t="s">
        <v>271</v>
      </c>
      <c r="E314" s="7">
        <v>0.6</v>
      </c>
      <c r="F314" s="79">
        <f t="shared" ref="F314:F316" si="83">$E$4*E314</f>
        <v>84</v>
      </c>
      <c r="G314" s="8">
        <f t="shared" si="68"/>
        <v>60</v>
      </c>
      <c r="H314" s="8" t="str" cm="1">
        <f t="array" ref="H314">GetColorMatchValue(F314, $F$3:$F$10)</f>
        <v>fs</v>
      </c>
      <c r="I314" s="101" t="str">
        <f t="shared" ref="I314:I316" si="84">"&lt;tr data-section="""&amp;A313&amp;B313&amp;C313&amp;"""&gt;&lt;td&gt;"&amp;D313&amp;"&lt;/td&gt;&lt;td&gt;"&amp;G313&amp;"%&lt;/td&gt;&lt;td&gt;${percent("&amp;H313&amp;", "&amp;G313&amp;")}kg&lt;/td&gt;&lt;/tr&gt;"</f>
        <v>&lt;tr data-section="345"&gt;&lt;td&gt;Front Squat + Jerk&lt;/td&gt;&lt;td&gt;%&lt;/td&gt;&lt;td&gt;${percent(, )}kg&lt;/td&gt;&lt;/tr&gt;</v>
      </c>
      <c r="L314" s="45"/>
      <c r="N314" s="62"/>
      <c r="O314" s="62"/>
    </row>
    <row r="315" spans="1:15" ht="15" customHeight="1" x14ac:dyDescent="0.25">
      <c r="A315" s="8">
        <v>3</v>
      </c>
      <c r="B315" s="8">
        <v>4</v>
      </c>
      <c r="C315" s="8">
        <v>5</v>
      </c>
      <c r="D315" s="94" t="s">
        <v>271</v>
      </c>
      <c r="E315" s="7">
        <v>0.7</v>
      </c>
      <c r="F315" s="79">
        <f t="shared" si="83"/>
        <v>98</v>
      </c>
      <c r="G315" s="8">
        <f t="shared" si="68"/>
        <v>70</v>
      </c>
      <c r="H315" s="8" t="str" cm="1">
        <f t="array" ref="H315">GetColorMatchValue(F315, $F$3:$F$10)</f>
        <v>fs</v>
      </c>
      <c r="I315" s="101" t="str">
        <f t="shared" si="84"/>
        <v>&lt;tr data-section="345"&gt;&lt;td&gt;1 Set of 3 F.S. + 1 Jr.&lt;/td&gt;&lt;td&gt;60%&lt;/td&gt;&lt;td&gt;${percent(fs, 60)}kg&lt;/td&gt;&lt;/tr&gt;</v>
      </c>
      <c r="L315" s="45"/>
      <c r="N315" s="62"/>
      <c r="O315" s="62"/>
    </row>
    <row r="316" spans="1:15" ht="15" customHeight="1" x14ac:dyDescent="0.25">
      <c r="A316" s="8">
        <v>3</v>
      </c>
      <c r="B316" s="8">
        <v>4</v>
      </c>
      <c r="C316" s="8">
        <v>5</v>
      </c>
      <c r="D316" s="94" t="s">
        <v>272</v>
      </c>
      <c r="E316" s="7">
        <v>0.8</v>
      </c>
      <c r="F316" s="79">
        <f t="shared" si="83"/>
        <v>112</v>
      </c>
      <c r="G316" s="8">
        <f t="shared" si="68"/>
        <v>80</v>
      </c>
      <c r="H316" s="8" t="str" cm="1">
        <f t="array" ref="H316">GetColorMatchValue(F316, $F$3:$F$10)</f>
        <v>fs</v>
      </c>
      <c r="I316" s="101" t="str">
        <f t="shared" si="84"/>
        <v>&lt;tr data-section="345"&gt;&lt;td&gt;1 Set of 3 F.S. + 1 Jr.&lt;/td&gt;&lt;td&gt;70%&lt;/td&gt;&lt;td&gt;${percent(fs, 70)}kg&lt;/td&gt;&lt;/tr&gt;</v>
      </c>
      <c r="L316" s="45"/>
      <c r="N316" s="62"/>
      <c r="O316" s="62"/>
    </row>
    <row r="317" spans="1:15" ht="15" customHeight="1" x14ac:dyDescent="0.25">
      <c r="A317" s="8">
        <v>3</v>
      </c>
      <c r="B317" s="8">
        <v>4</v>
      </c>
      <c r="C317" s="8">
        <v>5</v>
      </c>
      <c r="D317" s="94"/>
      <c r="E317" s="8"/>
      <c r="F317" s="71"/>
      <c r="G317" s="8" t="str">
        <f t="shared" si="68"/>
        <v/>
      </c>
      <c r="H317" s="8" t="str" cm="1">
        <f t="array" ref="H317">GetColorMatchValue(F317, $F$3:$F$10)</f>
        <v/>
      </c>
      <c r="I317" s="96" t="s">
        <v>287</v>
      </c>
      <c r="L317" s="45"/>
      <c r="N317" s="62"/>
      <c r="O317" s="62"/>
    </row>
    <row r="318" spans="1:15" ht="15" customHeight="1" x14ac:dyDescent="0.25">
      <c r="A318" s="8">
        <v>3</v>
      </c>
      <c r="B318" s="8">
        <v>4</v>
      </c>
      <c r="C318" s="8">
        <v>6</v>
      </c>
      <c r="D318" s="93" t="s">
        <v>27</v>
      </c>
      <c r="E318" s="8"/>
      <c r="F318" s="71"/>
      <c r="G318" s="8" t="str">
        <f t="shared" ref="G318:G374" si="85">IF(ISNUMBER(E318), E318 * 100, "")</f>
        <v/>
      </c>
      <c r="H318" s="8" t="str" cm="1">
        <f t="array" ref="H318">GetColorMatchValue(F318, $F$3:$F$10)</f>
        <v/>
      </c>
      <c r="I318" s="99" t="str">
        <f>"&lt;tr&gt;&lt;th colspan=""3""&gt;&lt;label&gt;"&amp;D317&amp;"&lt;input type=""checkbox"" class=""section-toggle"" data-section="""&amp;A317&amp;B317&amp;C317&amp;"""/&gt;&lt;/label&gt;&lt;/th&gt;&lt;/tr&gt;"</f>
        <v>&lt;tr&gt;&lt;th colspan="3"&gt;&lt;label&gt;&lt;input type="checkbox" class="section-toggle" data-section="345"/&gt;&lt;/label&gt;&lt;/th&gt;&lt;/tr&gt;</v>
      </c>
      <c r="L318" s="45"/>
      <c r="N318" s="62"/>
      <c r="O318" s="62"/>
    </row>
    <row r="319" spans="1:15" ht="15" customHeight="1" x14ac:dyDescent="0.25">
      <c r="A319" s="95">
        <v>3</v>
      </c>
      <c r="B319" s="95">
        <v>4</v>
      </c>
      <c r="C319" s="8">
        <v>6</v>
      </c>
      <c r="D319" s="94" t="s">
        <v>199</v>
      </c>
      <c r="E319" s="8" t="s">
        <v>194</v>
      </c>
      <c r="F319" s="71"/>
      <c r="G319" s="8" t="str">
        <f t="shared" si="85"/>
        <v/>
      </c>
      <c r="H319" s="8" t="str" cm="1">
        <f t="array" ref="H319">GetColorMatchValue(F319, $F$3:$F$10)</f>
        <v/>
      </c>
      <c r="I319" s="104" t="str">
        <f>"&lt;tr data-section="""&amp;A318&amp;B318&amp;C318&amp;"""&gt;&lt;td colspan=""3""&gt;"&amp;D318&amp;" "&amp;E318&amp;"&lt;/td&gt;&lt;/tr&gt;"</f>
        <v>&lt;tr data-section="346"&gt;&lt;td colspan="3"&gt;Abdominals &lt;/td&gt;&lt;/tr&gt;</v>
      </c>
      <c r="L319" s="45"/>
      <c r="N319" s="62"/>
      <c r="O319" s="62"/>
    </row>
    <row r="320" spans="1:15" ht="15" customHeight="1" x14ac:dyDescent="0.25">
      <c r="A320" s="8">
        <v>4</v>
      </c>
      <c r="B320" s="8">
        <v>1</v>
      </c>
      <c r="C320" s="8">
        <v>1</v>
      </c>
      <c r="D320" s="93" t="s">
        <v>53</v>
      </c>
      <c r="E320" s="8"/>
      <c r="F320" s="71"/>
      <c r="G320" s="8" t="str">
        <f t="shared" si="85"/>
        <v/>
      </c>
      <c r="H320" s="8" t="str" cm="1">
        <f t="array" ref="H320">GetColorMatchValue(F320, $F$3:$F$10)</f>
        <v/>
      </c>
      <c r="I320" s="99" t="str">
        <f>"&lt;tr&gt;&lt;th colspan=""3""&gt;&lt;label&gt;"&amp;D319&amp;"&lt;input type=""checkbox"" class=""section-toggle"" data-section="""&amp;A319&amp;B319&amp;C319&amp;"""/&gt;&lt;/label&gt;&lt;/th&gt;&lt;/tr&gt;"</f>
        <v>&lt;tr&gt;&lt;th colspan="3"&gt;&lt;label&gt;3 Sets of 30 Reps&lt;input type="checkbox" class="section-toggle" data-section="346"/&gt;&lt;/label&gt;&lt;/th&gt;&lt;/tr&gt;</v>
      </c>
    </row>
    <row r="321" spans="1:9" ht="15" customHeight="1" x14ac:dyDescent="0.25">
      <c r="A321" s="8">
        <v>4</v>
      </c>
      <c r="B321" s="8">
        <v>1</v>
      </c>
      <c r="C321" s="8">
        <v>1</v>
      </c>
      <c r="D321" s="94" t="s">
        <v>273</v>
      </c>
      <c r="E321" s="7">
        <v>0.6</v>
      </c>
      <c r="F321" s="73">
        <f t="shared" ref="F321:F323" si="86">$E$7*E321</f>
        <v>57</v>
      </c>
      <c r="G321" s="8">
        <f t="shared" si="85"/>
        <v>60</v>
      </c>
      <c r="H321" s="8" t="str" cm="1">
        <f t="array" ref="H321">GetColorMatchValue(F321, $F$3:$F$10)</f>
        <v>s</v>
      </c>
      <c r="I321" s="101" t="str">
        <f t="shared" ref="I321:I323" si="87">"&lt;tr data-section="""&amp;A320&amp;B320&amp;C320&amp;"""&gt;&lt;td&gt;"&amp;D320&amp;"&lt;/td&gt;&lt;td&gt;"&amp;G320&amp;"%&lt;/td&gt;&lt;td&gt;${percent("&amp;H320&amp;", "&amp;G320&amp;")}kg&lt;/td&gt;&lt;/tr&gt;"</f>
        <v>&lt;tr data-section="411"&gt;&lt;td&gt;Snatch Pulls + Snatch&lt;/td&gt;&lt;td&gt;%&lt;/td&gt;&lt;td&gt;${percent(, )}kg&lt;/td&gt;&lt;/tr&gt;</v>
      </c>
    </row>
    <row r="322" spans="1:9" ht="15" customHeight="1" x14ac:dyDescent="0.25">
      <c r="A322" s="8">
        <v>4</v>
      </c>
      <c r="B322" s="8">
        <v>1</v>
      </c>
      <c r="C322" s="8">
        <v>1</v>
      </c>
      <c r="D322" s="94" t="s">
        <v>273</v>
      </c>
      <c r="E322" s="7">
        <v>0.7</v>
      </c>
      <c r="F322" s="73">
        <f t="shared" si="86"/>
        <v>66.5</v>
      </c>
      <c r="G322" s="8">
        <f t="shared" si="85"/>
        <v>70</v>
      </c>
      <c r="H322" s="8" t="str" cm="1">
        <f t="array" ref="H322">GetColorMatchValue(F322, $F$3:$F$10)</f>
        <v>s</v>
      </c>
      <c r="I322" s="101" t="str">
        <f t="shared" si="87"/>
        <v>&lt;tr data-section="411"&gt;&lt;td&gt;1 Set of 3 Sn.Pu. + 1 Sn.&lt;/td&gt;&lt;td&gt;60%&lt;/td&gt;&lt;td&gt;${percent(s, 60)}kg&lt;/td&gt;&lt;/tr&gt;</v>
      </c>
    </row>
    <row r="323" spans="1:9" ht="15" customHeight="1" x14ac:dyDescent="0.25">
      <c r="A323" s="8">
        <v>4</v>
      </c>
      <c r="B323" s="8">
        <v>1</v>
      </c>
      <c r="C323" s="8">
        <v>1</v>
      </c>
      <c r="D323" s="94" t="s">
        <v>274</v>
      </c>
      <c r="E323" s="7">
        <v>0.8</v>
      </c>
      <c r="F323" s="73">
        <f t="shared" si="86"/>
        <v>76</v>
      </c>
      <c r="G323" s="8">
        <f t="shared" si="85"/>
        <v>80</v>
      </c>
      <c r="H323" s="8" t="str" cm="1">
        <f t="array" ref="H323">GetColorMatchValue(F323, $F$3:$F$10)</f>
        <v>s</v>
      </c>
      <c r="I323" s="101" t="str">
        <f t="shared" si="87"/>
        <v>&lt;tr data-section="411"&gt;&lt;td&gt;1 Set of 3 Sn.Pu. + 1 Sn.&lt;/td&gt;&lt;td&gt;70%&lt;/td&gt;&lt;td&gt;${percent(s, 70)}kg&lt;/td&gt;&lt;/tr&gt;</v>
      </c>
    </row>
    <row r="324" spans="1:9" ht="15" customHeight="1" x14ac:dyDescent="0.25">
      <c r="A324" s="8">
        <v>4</v>
      </c>
      <c r="B324" s="8">
        <v>1</v>
      </c>
      <c r="C324" s="8">
        <v>1</v>
      </c>
      <c r="D324" s="94"/>
      <c r="E324" s="8"/>
      <c r="F324" s="71"/>
      <c r="G324" s="8" t="str">
        <f t="shared" si="85"/>
        <v/>
      </c>
      <c r="H324" s="8" t="str" cm="1">
        <f t="array" ref="H324">GetColorMatchValue(F324, $F$3:$F$10)</f>
        <v/>
      </c>
      <c r="I324" s="96" t="s">
        <v>287</v>
      </c>
    </row>
    <row r="325" spans="1:9" ht="15" customHeight="1" x14ac:dyDescent="0.25">
      <c r="A325" s="8">
        <v>4</v>
      </c>
      <c r="B325" s="8">
        <v>1</v>
      </c>
      <c r="C325" s="8">
        <v>2</v>
      </c>
      <c r="D325" s="93" t="s">
        <v>54</v>
      </c>
      <c r="E325" s="8"/>
      <c r="F325" s="71"/>
      <c r="G325" s="8" t="str">
        <f t="shared" si="85"/>
        <v/>
      </c>
      <c r="H325" s="8" t="str" cm="1">
        <f t="array" ref="H325">GetColorMatchValue(F325, $F$3:$F$10)</f>
        <v/>
      </c>
      <c r="I325" s="99" t="str">
        <f>"&lt;tr&gt;&lt;th colspan=""3""&gt;&lt;label&gt;"&amp;D324&amp;"&lt;input type=""checkbox"" class=""section-toggle"" data-section="""&amp;A324&amp;B324&amp;C324&amp;"""/&gt;&lt;/label&gt;&lt;/th&gt;&lt;/tr&gt;"</f>
        <v>&lt;tr&gt;&lt;th colspan="3"&gt;&lt;label&gt;&lt;input type="checkbox" class="section-toggle" data-section="411"/&gt;&lt;/label&gt;&lt;/th&gt;&lt;/tr&gt;</v>
      </c>
    </row>
    <row r="326" spans="1:9" ht="15" customHeight="1" x14ac:dyDescent="0.25">
      <c r="A326" s="8">
        <v>4</v>
      </c>
      <c r="B326" s="8">
        <v>1</v>
      </c>
      <c r="C326" s="8">
        <v>2</v>
      </c>
      <c r="D326" s="94" t="s">
        <v>275</v>
      </c>
      <c r="E326" s="7">
        <v>0.6</v>
      </c>
      <c r="F326" s="75">
        <f t="shared" ref="F326:F328" si="88">$E$6*E326</f>
        <v>66</v>
      </c>
      <c r="G326" s="8">
        <f t="shared" si="85"/>
        <v>60</v>
      </c>
      <c r="H326" s="8" t="str" cm="1">
        <f t="array" ref="H326">GetColorMatchValue(F326, $F$3:$F$10)</f>
        <v>c</v>
      </c>
      <c r="I326" s="101" t="str">
        <f t="shared" ref="I326:I328" si="89">"&lt;tr data-section="""&amp;A325&amp;B325&amp;C325&amp;"""&gt;&lt;td&gt;"&amp;D325&amp;"&lt;/td&gt;&lt;td&gt;"&amp;G325&amp;"%&lt;/td&gt;&lt;td&gt;${percent("&amp;H325&amp;", "&amp;G325&amp;")}kg&lt;/td&gt;&lt;/tr&gt;"</f>
        <v>&lt;tr data-section="412"&gt;&lt;td&gt;Clean Pulls + Clean&lt;/td&gt;&lt;td&gt;%&lt;/td&gt;&lt;td&gt;${percent(, )}kg&lt;/td&gt;&lt;/tr&gt;</v>
      </c>
    </row>
    <row r="327" spans="1:9" ht="15" customHeight="1" x14ac:dyDescent="0.25">
      <c r="A327" s="8">
        <v>4</v>
      </c>
      <c r="B327" s="8">
        <v>1</v>
      </c>
      <c r="C327" s="8">
        <v>2</v>
      </c>
      <c r="D327" s="94" t="s">
        <v>275</v>
      </c>
      <c r="E327" s="7">
        <v>0.7</v>
      </c>
      <c r="F327" s="75">
        <f t="shared" si="88"/>
        <v>77</v>
      </c>
      <c r="G327" s="8">
        <f t="shared" si="85"/>
        <v>70</v>
      </c>
      <c r="H327" s="8" t="str" cm="1">
        <f t="array" ref="H327">GetColorMatchValue(F327, $F$3:$F$10)</f>
        <v>c</v>
      </c>
      <c r="I327" s="101" t="str">
        <f t="shared" si="89"/>
        <v>&lt;tr data-section="412"&gt;&lt;td&gt;1 Set of 3 Cl.Pu. + 1 Cl.&lt;/td&gt;&lt;td&gt;60%&lt;/td&gt;&lt;td&gt;${percent(c, 60)}kg&lt;/td&gt;&lt;/tr&gt;</v>
      </c>
    </row>
    <row r="328" spans="1:9" ht="15" customHeight="1" x14ac:dyDescent="0.25">
      <c r="A328" s="8">
        <v>4</v>
      </c>
      <c r="B328" s="8">
        <v>1</v>
      </c>
      <c r="C328" s="8">
        <v>2</v>
      </c>
      <c r="D328" s="94" t="s">
        <v>276</v>
      </c>
      <c r="E328" s="7">
        <v>0.8</v>
      </c>
      <c r="F328" s="75">
        <f t="shared" si="88"/>
        <v>88</v>
      </c>
      <c r="G328" s="8">
        <f t="shared" si="85"/>
        <v>80</v>
      </c>
      <c r="H328" s="8" t="str" cm="1">
        <f t="array" ref="H328">GetColorMatchValue(F328, $F$3:$F$10)</f>
        <v>c</v>
      </c>
      <c r="I328" s="101" t="str">
        <f t="shared" si="89"/>
        <v>&lt;tr data-section="412"&gt;&lt;td&gt;1 Set of 3 Cl.Pu. + 1 Cl.&lt;/td&gt;&lt;td&gt;70%&lt;/td&gt;&lt;td&gt;${percent(c, 70)}kg&lt;/td&gt;&lt;/tr&gt;</v>
      </c>
    </row>
    <row r="329" spans="1:9" ht="15" customHeight="1" x14ac:dyDescent="0.25">
      <c r="A329" s="8">
        <v>4</v>
      </c>
      <c r="B329" s="8">
        <v>1</v>
      </c>
      <c r="C329" s="8">
        <v>2</v>
      </c>
      <c r="D329" s="94"/>
      <c r="E329" s="8"/>
      <c r="F329" s="71"/>
      <c r="G329" s="8" t="str">
        <f t="shared" si="85"/>
        <v/>
      </c>
      <c r="H329" s="8" t="str" cm="1">
        <f t="array" ref="H329">GetColorMatchValue(F329, $F$3:$F$10)</f>
        <v/>
      </c>
      <c r="I329" s="96" t="s">
        <v>287</v>
      </c>
    </row>
    <row r="330" spans="1:9" ht="15" customHeight="1" x14ac:dyDescent="0.25">
      <c r="A330" s="8">
        <v>4</v>
      </c>
      <c r="B330" s="8">
        <v>1</v>
      </c>
      <c r="C330" s="8">
        <v>3</v>
      </c>
      <c r="D330" s="93" t="s">
        <v>207</v>
      </c>
      <c r="E330" s="8"/>
      <c r="F330" s="71"/>
      <c r="G330" s="8" t="str">
        <f t="shared" si="85"/>
        <v/>
      </c>
      <c r="H330" s="8" t="str" cm="1">
        <f t="array" ref="H330">GetColorMatchValue(F330, $F$3:$F$10)</f>
        <v/>
      </c>
      <c r="I330" s="99" t="str">
        <f>"&lt;tr&gt;&lt;th colspan=""3""&gt;&lt;label&gt;"&amp;D329&amp;"&lt;input type=""checkbox"" class=""section-toggle"" data-section="""&amp;A329&amp;B329&amp;C329&amp;"""/&gt;&lt;/label&gt;&lt;/th&gt;&lt;/tr&gt;"</f>
        <v>&lt;tr&gt;&lt;th colspan="3"&gt;&lt;label&gt;&lt;input type="checkbox" class="section-toggle" data-section="412"/&gt;&lt;/label&gt;&lt;/th&gt;&lt;/tr&gt;</v>
      </c>
    </row>
    <row r="331" spans="1:9" ht="15" customHeight="1" x14ac:dyDescent="0.25">
      <c r="A331" s="8">
        <v>4</v>
      </c>
      <c r="B331" s="8">
        <v>1</v>
      </c>
      <c r="C331" s="8">
        <v>3</v>
      </c>
      <c r="D331" s="94" t="s">
        <v>213</v>
      </c>
      <c r="E331" s="7">
        <v>0.6</v>
      </c>
      <c r="F331" s="77">
        <f t="shared" ref="F331:F338" si="90">$E$8*E331</f>
        <v>69</v>
      </c>
      <c r="G331" s="8">
        <f t="shared" si="85"/>
        <v>60</v>
      </c>
      <c r="H331" s="8" t="str" cm="1">
        <f t="array" ref="H331">GetColorMatchValue(F331, $F$3:$F$10)</f>
        <v>cj</v>
      </c>
      <c r="I331" s="101" t="str">
        <f t="shared" ref="I331:I338" si="91">"&lt;tr data-section="""&amp;A330&amp;B330&amp;C330&amp;"""&gt;&lt;td&gt;"&amp;D330&amp;"&lt;/td&gt;&lt;td&gt;"&amp;G330&amp;"%&lt;/td&gt;&lt;td&gt;${percent("&amp;H330&amp;", "&amp;G330&amp;")}kg&lt;/td&gt;&lt;/tr&gt;"</f>
        <v>&lt;tr data-section="413"&gt;&lt;td&gt;Jerk - from the rack&lt;/td&gt;&lt;td&gt;%&lt;/td&gt;&lt;td&gt;${percent(, )}kg&lt;/td&gt;&lt;/tr&gt;</v>
      </c>
    </row>
    <row r="332" spans="1:9" ht="15" customHeight="1" x14ac:dyDescent="0.25">
      <c r="A332" s="8">
        <v>4</v>
      </c>
      <c r="B332" s="8">
        <v>1</v>
      </c>
      <c r="C332" s="8">
        <v>3</v>
      </c>
      <c r="D332" s="94" t="s">
        <v>213</v>
      </c>
      <c r="E332" s="7">
        <v>0.7</v>
      </c>
      <c r="F332" s="77">
        <f t="shared" si="90"/>
        <v>80.5</v>
      </c>
      <c r="G332" s="8">
        <f t="shared" si="85"/>
        <v>70</v>
      </c>
      <c r="H332" s="8" t="str" cm="1">
        <f t="array" ref="H332">GetColorMatchValue(F332, $F$3:$F$10)</f>
        <v>cj</v>
      </c>
      <c r="I332" s="101" t="str">
        <f t="shared" si="91"/>
        <v>&lt;tr data-section="413"&gt;&lt;td&gt;1 Set of 3 Reps&lt;/td&gt;&lt;td&gt;60%&lt;/td&gt;&lt;td&gt;${percent(cj, 60)}kg&lt;/td&gt;&lt;/tr&gt;</v>
      </c>
    </row>
    <row r="333" spans="1:9" ht="15" customHeight="1" x14ac:dyDescent="0.25">
      <c r="A333" s="8">
        <v>4</v>
      </c>
      <c r="B333" s="8">
        <v>1</v>
      </c>
      <c r="C333" s="8">
        <v>3</v>
      </c>
      <c r="D333" s="94" t="s">
        <v>236</v>
      </c>
      <c r="E333" s="7">
        <v>0.8</v>
      </c>
      <c r="F333" s="77">
        <f t="shared" si="90"/>
        <v>92</v>
      </c>
      <c r="G333" s="8">
        <f t="shared" si="85"/>
        <v>80</v>
      </c>
      <c r="H333" s="8" t="str" cm="1">
        <f t="array" ref="H333">GetColorMatchValue(F333, $F$3:$F$10)</f>
        <v>cj</v>
      </c>
      <c r="I333" s="101" t="str">
        <f t="shared" si="91"/>
        <v>&lt;tr data-section="413"&gt;&lt;td&gt;1 Set of 3 Reps&lt;/td&gt;&lt;td&gt;70%&lt;/td&gt;&lt;td&gt;${percent(cj, 70)}kg&lt;/td&gt;&lt;/tr&gt;</v>
      </c>
    </row>
    <row r="334" spans="1:9" ht="15" customHeight="1" x14ac:dyDescent="0.25">
      <c r="A334" s="8">
        <v>4</v>
      </c>
      <c r="B334" s="8">
        <v>1</v>
      </c>
      <c r="C334" s="8">
        <v>3</v>
      </c>
      <c r="D334" s="94" t="s">
        <v>236</v>
      </c>
      <c r="E334" s="7">
        <v>0.85</v>
      </c>
      <c r="F334" s="77">
        <f t="shared" si="90"/>
        <v>97.75</v>
      </c>
      <c r="G334" s="8">
        <f t="shared" si="85"/>
        <v>85</v>
      </c>
      <c r="H334" s="8" t="str" cm="1">
        <f t="array" ref="H334">GetColorMatchValue(F334, $F$3:$F$10)</f>
        <v>cj</v>
      </c>
      <c r="I334" s="101" t="str">
        <f t="shared" si="91"/>
        <v>&lt;tr data-section="413"&gt;&lt;td&gt;1 Set of 2 Reps&lt;/td&gt;&lt;td&gt;80%&lt;/td&gt;&lt;td&gt;${percent(cj, 80)}kg&lt;/td&gt;&lt;/tr&gt;</v>
      </c>
    </row>
    <row r="335" spans="1:9" ht="15" customHeight="1" x14ac:dyDescent="0.25">
      <c r="A335" s="8">
        <v>4</v>
      </c>
      <c r="B335" s="8">
        <v>1</v>
      </c>
      <c r="C335" s="8">
        <v>3</v>
      </c>
      <c r="D335" s="94" t="s">
        <v>212</v>
      </c>
      <c r="E335" s="7">
        <v>0.9</v>
      </c>
      <c r="F335" s="77">
        <f t="shared" si="90"/>
        <v>103.5</v>
      </c>
      <c r="G335" s="8">
        <f t="shared" si="85"/>
        <v>90</v>
      </c>
      <c r="H335" s="8" t="str" cm="1">
        <f t="array" ref="H335">GetColorMatchValue(F335, $F$3:$F$10)</f>
        <v>cj</v>
      </c>
      <c r="I335" s="101" t="str">
        <f t="shared" si="91"/>
        <v>&lt;tr data-section="413"&gt;&lt;td&gt;1 Set of 2 Reps&lt;/td&gt;&lt;td&gt;85%&lt;/td&gt;&lt;td&gt;${percent(cj, 85)}kg&lt;/td&gt;&lt;/tr&gt;</v>
      </c>
    </row>
    <row r="336" spans="1:9" ht="15" customHeight="1" x14ac:dyDescent="0.25">
      <c r="A336" s="8">
        <v>4</v>
      </c>
      <c r="B336" s="8">
        <v>1</v>
      </c>
      <c r="C336" s="8">
        <v>3</v>
      </c>
      <c r="D336" s="94" t="s">
        <v>212</v>
      </c>
      <c r="E336" s="7">
        <v>0.95</v>
      </c>
      <c r="F336" s="77">
        <f t="shared" si="90"/>
        <v>109.25</v>
      </c>
      <c r="G336" s="8">
        <f t="shared" si="85"/>
        <v>95</v>
      </c>
      <c r="H336" s="8" t="str" cm="1">
        <f t="array" ref="H336">GetColorMatchValue(F336, $F$3:$F$10)</f>
        <v>cj</v>
      </c>
      <c r="I336" s="101" t="str">
        <f t="shared" si="91"/>
        <v>&lt;tr data-section="413"&gt;&lt;td&gt;1 Set of 1 Rep&lt;/td&gt;&lt;td&gt;90%&lt;/td&gt;&lt;td&gt;${percent(cj, 90)}kg&lt;/td&gt;&lt;/tr&gt;</v>
      </c>
    </row>
    <row r="337" spans="1:15" ht="15" customHeight="1" x14ac:dyDescent="0.25">
      <c r="A337" s="8">
        <v>4</v>
      </c>
      <c r="B337" s="8">
        <v>1</v>
      </c>
      <c r="C337" s="8">
        <v>3</v>
      </c>
      <c r="D337" s="94" t="s">
        <v>236</v>
      </c>
      <c r="E337" s="7">
        <v>0.8</v>
      </c>
      <c r="F337" s="77">
        <f t="shared" si="90"/>
        <v>92</v>
      </c>
      <c r="G337" s="8">
        <f t="shared" si="85"/>
        <v>80</v>
      </c>
      <c r="H337" s="8" t="str" cm="1">
        <f t="array" ref="H337">GetColorMatchValue(F337, $F$3:$F$10)</f>
        <v>cj</v>
      </c>
      <c r="I337" s="101" t="str">
        <f t="shared" si="91"/>
        <v>&lt;tr data-section="413"&gt;&lt;td&gt;1 Set of 1 Rep&lt;/td&gt;&lt;td&gt;95%&lt;/td&gt;&lt;td&gt;${percent(cj, 95)}kg&lt;/td&gt;&lt;/tr&gt;</v>
      </c>
    </row>
    <row r="338" spans="1:15" ht="15" customHeight="1" x14ac:dyDescent="0.25">
      <c r="A338" s="8">
        <v>4</v>
      </c>
      <c r="B338" s="8">
        <v>1</v>
      </c>
      <c r="C338" s="8">
        <v>3</v>
      </c>
      <c r="D338" s="94" t="s">
        <v>236</v>
      </c>
      <c r="E338" s="7">
        <v>0.85</v>
      </c>
      <c r="F338" s="77">
        <f t="shared" si="90"/>
        <v>97.75</v>
      </c>
      <c r="G338" s="8">
        <f t="shared" si="85"/>
        <v>85</v>
      </c>
      <c r="H338" s="8" t="str" cm="1">
        <f t="array" ref="H338">GetColorMatchValue(F338, $F$3:$F$10)</f>
        <v>cj</v>
      </c>
      <c r="I338" s="101" t="str">
        <f t="shared" si="91"/>
        <v>&lt;tr data-section="413"&gt;&lt;td&gt;1 Set of 2 Reps&lt;/td&gt;&lt;td&gt;80%&lt;/td&gt;&lt;td&gt;${percent(cj, 80)}kg&lt;/td&gt;&lt;/tr&gt;</v>
      </c>
    </row>
    <row r="339" spans="1:15" ht="15" customHeight="1" x14ac:dyDescent="0.25">
      <c r="A339" s="8">
        <v>4</v>
      </c>
      <c r="B339" s="8">
        <v>1</v>
      </c>
      <c r="C339" s="8">
        <v>3</v>
      </c>
      <c r="D339" s="94"/>
      <c r="E339" s="8"/>
      <c r="F339" s="71"/>
      <c r="G339" s="8" t="str">
        <f t="shared" si="85"/>
        <v/>
      </c>
      <c r="H339" s="8" t="str" cm="1">
        <f t="array" ref="H339">GetColorMatchValue(F339, $F$3:$F$10)</f>
        <v/>
      </c>
      <c r="I339" s="96" t="s">
        <v>287</v>
      </c>
    </row>
    <row r="340" spans="1:15" ht="15" customHeight="1" x14ac:dyDescent="0.25">
      <c r="A340" s="8">
        <v>4</v>
      </c>
      <c r="B340" s="8">
        <v>1</v>
      </c>
      <c r="C340" s="8">
        <v>4</v>
      </c>
      <c r="D340" s="93" t="s">
        <v>0</v>
      </c>
      <c r="E340" s="8"/>
      <c r="F340" s="71"/>
      <c r="G340" s="8" t="str">
        <f t="shared" si="85"/>
        <v/>
      </c>
      <c r="H340" s="8" t="str" cm="1">
        <f t="array" ref="H340">GetColorMatchValue(F340, $F$3:$F$10)</f>
        <v/>
      </c>
      <c r="I340" s="99" t="str">
        <f>"&lt;tr&gt;&lt;th colspan=""3""&gt;&lt;label&gt;"&amp;D339&amp;"&lt;input type=""checkbox"" class=""section-toggle"" data-section="""&amp;A339&amp;B339&amp;C339&amp;"""/&gt;&lt;/label&gt;&lt;/th&gt;&lt;/tr&gt;"</f>
        <v>&lt;tr&gt;&lt;th colspan="3"&gt;&lt;label&gt;&lt;input type="checkbox" class="section-toggle" data-section="413"/&gt;&lt;/label&gt;&lt;/th&gt;&lt;/tr&gt;</v>
      </c>
    </row>
    <row r="341" spans="1:15" ht="15" customHeight="1" x14ac:dyDescent="0.25">
      <c r="A341" s="8">
        <v>4</v>
      </c>
      <c r="B341" s="8">
        <v>1</v>
      </c>
      <c r="C341" s="8">
        <v>4</v>
      </c>
      <c r="D341" s="94" t="s">
        <v>220</v>
      </c>
      <c r="E341" s="7">
        <v>0.6</v>
      </c>
      <c r="F341" s="72">
        <f>$E$3*E341</f>
        <v>120</v>
      </c>
      <c r="G341" s="8">
        <f t="shared" si="85"/>
        <v>60</v>
      </c>
      <c r="H341" s="8" t="str" cm="1">
        <f t="array" ref="H341">GetColorMatchValue(F341, $F$3:$F$10)</f>
        <v>bs</v>
      </c>
      <c r="I341" s="101" t="str">
        <f t="shared" ref="I341:I344" si="92">"&lt;tr data-section="""&amp;A340&amp;B340&amp;C340&amp;"""&gt;&lt;td&gt;"&amp;D340&amp;"&lt;/td&gt;&lt;td&gt;"&amp;G340&amp;"%&lt;/td&gt;&lt;td&gt;${percent("&amp;H340&amp;", "&amp;G340&amp;")}kg&lt;/td&gt;&lt;/tr&gt;"</f>
        <v>&lt;tr data-section="414"&gt;&lt;td&gt;Back Squat&lt;/td&gt;&lt;td&gt;%&lt;/td&gt;&lt;td&gt;${percent(, )}kg&lt;/td&gt;&lt;/tr&gt;</v>
      </c>
    </row>
    <row r="342" spans="1:15" ht="15" customHeight="1" x14ac:dyDescent="0.25">
      <c r="A342" s="8">
        <v>4</v>
      </c>
      <c r="B342" s="8">
        <v>1</v>
      </c>
      <c r="C342" s="8">
        <v>4</v>
      </c>
      <c r="D342" s="94" t="s">
        <v>220</v>
      </c>
      <c r="E342" s="7">
        <v>0.7</v>
      </c>
      <c r="F342" s="72">
        <f>$E$3*E342</f>
        <v>140</v>
      </c>
      <c r="G342" s="8">
        <f t="shared" si="85"/>
        <v>70</v>
      </c>
      <c r="H342" s="8" t="str" cm="1">
        <f t="array" ref="H342">GetColorMatchValue(F342, $F$3:$F$10)</f>
        <v>bs</v>
      </c>
      <c r="I342" s="101" t="str">
        <f t="shared" si="92"/>
        <v>&lt;tr data-section="414"&gt;&lt;td&gt;1 Set of 4 Reps&lt;/td&gt;&lt;td&gt;60%&lt;/td&gt;&lt;td&gt;${percent(bs, 60)}kg&lt;/td&gt;&lt;/tr&gt;</v>
      </c>
    </row>
    <row r="343" spans="1:15" ht="15" customHeight="1" x14ac:dyDescent="0.25">
      <c r="A343" s="8">
        <v>4</v>
      </c>
      <c r="B343" s="8">
        <v>1</v>
      </c>
      <c r="C343" s="8">
        <v>4</v>
      </c>
      <c r="D343" s="94" t="s">
        <v>220</v>
      </c>
      <c r="E343" s="7">
        <v>0.8</v>
      </c>
      <c r="F343" s="72">
        <f>$E$3*E343</f>
        <v>160</v>
      </c>
      <c r="G343" s="8">
        <f t="shared" si="85"/>
        <v>80</v>
      </c>
      <c r="H343" s="8" t="str" cm="1">
        <f t="array" ref="H343">GetColorMatchValue(F343, $F$3:$F$10)</f>
        <v>bs</v>
      </c>
      <c r="I343" s="101" t="str">
        <f t="shared" si="92"/>
        <v>&lt;tr data-section="414"&gt;&lt;td&gt;1 Set of 4 Reps&lt;/td&gt;&lt;td&gt;70%&lt;/td&gt;&lt;td&gt;${percent(bs, 70)}kg&lt;/td&gt;&lt;/tr&gt;</v>
      </c>
    </row>
    <row r="344" spans="1:15" ht="15" customHeight="1" x14ac:dyDescent="0.25">
      <c r="A344" s="8">
        <v>4</v>
      </c>
      <c r="B344" s="8">
        <v>1</v>
      </c>
      <c r="C344" s="8">
        <v>4</v>
      </c>
      <c r="D344" s="94" t="s">
        <v>238</v>
      </c>
      <c r="E344" s="7">
        <v>0.85</v>
      </c>
      <c r="F344" s="72">
        <f t="shared" ref="F344" si="93">$E$3*E344</f>
        <v>170</v>
      </c>
      <c r="G344" s="8">
        <f t="shared" si="85"/>
        <v>85</v>
      </c>
      <c r="H344" s="8" t="str" cm="1">
        <f t="array" ref="H344">GetColorMatchValue(F344, $F$3:$F$10)</f>
        <v>bs</v>
      </c>
      <c r="I344" s="101" t="str">
        <f t="shared" si="92"/>
        <v>&lt;tr data-section="414"&gt;&lt;td&gt;1 Set of 4 Reps&lt;/td&gt;&lt;td&gt;80%&lt;/td&gt;&lt;td&gt;${percent(bs, 80)}kg&lt;/td&gt;&lt;/tr&gt;</v>
      </c>
    </row>
    <row r="345" spans="1:15" ht="15" customHeight="1" x14ac:dyDescent="0.25">
      <c r="A345" s="8">
        <v>4</v>
      </c>
      <c r="B345" s="8">
        <v>1</v>
      </c>
      <c r="C345" s="8">
        <v>4</v>
      </c>
      <c r="D345" s="94"/>
      <c r="E345" s="8"/>
      <c r="F345" s="71"/>
      <c r="G345" s="8" t="str">
        <f t="shared" si="85"/>
        <v/>
      </c>
      <c r="H345" s="8" t="str" cm="1">
        <f t="array" ref="H345">GetColorMatchValue(F345, $F$3:$F$10)</f>
        <v/>
      </c>
      <c r="I345" s="96" t="s">
        <v>287</v>
      </c>
    </row>
    <row r="346" spans="1:15" ht="15" customHeight="1" x14ac:dyDescent="0.25">
      <c r="A346" s="8">
        <v>4</v>
      </c>
      <c r="B346" s="8">
        <v>1</v>
      </c>
      <c r="C346" s="8">
        <v>5</v>
      </c>
      <c r="D346" s="93" t="s">
        <v>47</v>
      </c>
      <c r="E346" s="8"/>
      <c r="F346" s="71"/>
      <c r="G346" s="8" t="str">
        <f t="shared" si="85"/>
        <v/>
      </c>
      <c r="H346" s="8" t="str" cm="1">
        <f t="array" ref="H346">GetColorMatchValue(F346, $F$3:$F$10)</f>
        <v/>
      </c>
      <c r="I346" s="99" t="str">
        <f>"&lt;tr&gt;&lt;th colspan=""3""&gt;&lt;label&gt;"&amp;D345&amp;"&lt;input type=""checkbox"" class=""section-toggle"" data-section="""&amp;A345&amp;B345&amp;C345&amp;"""/&gt;&lt;/label&gt;&lt;/th&gt;&lt;/tr&gt;"</f>
        <v>&lt;tr&gt;&lt;th colspan="3"&gt;&lt;label&gt;&lt;input type="checkbox" class="section-toggle" data-section="414"/&gt;&lt;/label&gt;&lt;/th&gt;&lt;/tr&gt;</v>
      </c>
    </row>
    <row r="347" spans="1:15" ht="15" customHeight="1" x14ac:dyDescent="0.25">
      <c r="A347" s="95">
        <v>4</v>
      </c>
      <c r="B347" s="95">
        <v>1</v>
      </c>
      <c r="C347" s="8">
        <v>5</v>
      </c>
      <c r="D347" s="94" t="s">
        <v>200</v>
      </c>
      <c r="E347" s="94" t="s">
        <v>197</v>
      </c>
      <c r="F347" s="71"/>
      <c r="G347" s="8" t="str">
        <f t="shared" si="85"/>
        <v/>
      </c>
      <c r="H347" s="8" t="str" cm="1">
        <f t="array" ref="H347">GetColorMatchValue(F347, $F$3:$F$10)</f>
        <v/>
      </c>
      <c r="I347" s="104" t="str">
        <f>"&lt;tr data-section="""&amp;A346&amp;B346&amp;C346&amp;"""&gt;&lt;td colspan=""3""&gt;"&amp;D346&amp;" "&amp;E346&amp;"&lt;/td&gt;&lt;/tr&gt;"</f>
        <v>&lt;tr data-section="415"&gt;&lt;td colspan="3"&gt;Press &lt;/td&gt;&lt;/tr&gt;</v>
      </c>
    </row>
    <row r="348" spans="1:15" ht="15" customHeight="1" x14ac:dyDescent="0.25">
      <c r="A348" s="8">
        <v>4</v>
      </c>
      <c r="B348" s="8">
        <v>1</v>
      </c>
      <c r="C348" s="8">
        <v>5</v>
      </c>
      <c r="D348" s="94"/>
      <c r="E348" s="8"/>
      <c r="F348" s="71"/>
      <c r="G348" s="8" t="str">
        <f t="shared" si="85"/>
        <v/>
      </c>
      <c r="H348" s="8" t="str" cm="1">
        <f t="array" ref="H348">GetColorMatchValue(F348, $F$3:$F$10)</f>
        <v/>
      </c>
      <c r="I348" s="96" t="s">
        <v>287</v>
      </c>
    </row>
    <row r="349" spans="1:15" ht="15" customHeight="1" x14ac:dyDescent="0.25">
      <c r="A349" s="8">
        <v>4</v>
      </c>
      <c r="B349" s="8">
        <v>1</v>
      </c>
      <c r="C349" s="8">
        <v>6</v>
      </c>
      <c r="D349" s="93" t="s">
        <v>58</v>
      </c>
      <c r="E349" s="8"/>
      <c r="F349" s="71"/>
      <c r="G349" s="8" t="str">
        <f t="shared" si="85"/>
        <v/>
      </c>
      <c r="H349" s="8" t="str" cm="1">
        <f t="array" ref="H349">GetColorMatchValue(F349, $F$3:$F$10)</f>
        <v/>
      </c>
      <c r="I349" s="99" t="str">
        <f>"&lt;tr&gt;&lt;th colspan=""3""&gt;&lt;label&gt;"&amp;D348&amp;"&lt;input type=""checkbox"" class=""section-toggle"" data-section="""&amp;A348&amp;B348&amp;C348&amp;"""/&gt;&lt;/label&gt;&lt;/th&gt;&lt;/tr&gt;"</f>
        <v>&lt;tr&gt;&lt;th colspan="3"&gt;&lt;label&gt;&lt;input type="checkbox" class="section-toggle" data-section="415"/&gt;&lt;/label&gt;&lt;/th&gt;&lt;/tr&gt;</v>
      </c>
    </row>
    <row r="350" spans="1:15" ht="15" customHeight="1" x14ac:dyDescent="0.25">
      <c r="A350" s="95">
        <v>4</v>
      </c>
      <c r="B350" s="95">
        <v>1</v>
      </c>
      <c r="C350" s="8">
        <v>6</v>
      </c>
      <c r="D350" s="94" t="s">
        <v>201</v>
      </c>
      <c r="E350" s="94" t="s">
        <v>197</v>
      </c>
      <c r="F350" s="71"/>
      <c r="G350" s="8" t="str">
        <f t="shared" si="85"/>
        <v/>
      </c>
      <c r="H350" s="8" t="str" cm="1">
        <f t="array" ref="H350">GetColorMatchValue(F350, $F$3:$F$10)</f>
        <v/>
      </c>
      <c r="I350" s="104" t="str">
        <f>"&lt;tr data-section="""&amp;A349&amp;B349&amp;C349&amp;"""&gt;&lt;td colspan=""3""&gt;"&amp;D349&amp;" "&amp;E349&amp;"&lt;/td&gt;&lt;/tr&gt;"</f>
        <v>&lt;tr data-section="416"&gt;&lt;td colspan="3"&gt;Good Mornings &lt;/td&gt;&lt;/tr&gt;</v>
      </c>
    </row>
    <row r="351" spans="1:15" ht="15" customHeight="1" x14ac:dyDescent="0.25">
      <c r="A351" s="8">
        <v>4</v>
      </c>
      <c r="B351" s="8">
        <v>2</v>
      </c>
      <c r="C351" s="8">
        <v>1</v>
      </c>
      <c r="D351" s="93" t="s">
        <v>34</v>
      </c>
      <c r="E351" s="8"/>
      <c r="F351" s="71"/>
      <c r="G351" s="8" t="str">
        <f t="shared" si="85"/>
        <v/>
      </c>
      <c r="H351" s="8" t="str" cm="1">
        <f t="array" ref="H351">GetColorMatchValue(F351, $F$3:$F$10)</f>
        <v/>
      </c>
      <c r="I351" s="99" t="str">
        <f>"&lt;tr&gt;&lt;th colspan=""3""&gt;&lt;label&gt;"&amp;D350&amp;"&lt;input type=""checkbox"" class=""section-toggle"" data-section="""&amp;A350&amp;B350&amp;C350&amp;"""/&gt;&lt;/label&gt;&lt;/th&gt;&lt;/tr&gt;"</f>
        <v>&lt;tr&gt;&lt;th colspan="3"&gt;&lt;label&gt;4 Sets of 8 Reps&lt;input type="checkbox" class="section-toggle" data-section="416"/&gt;&lt;/label&gt;&lt;/th&gt;&lt;/tr&gt;</v>
      </c>
      <c r="N351" s="62"/>
      <c r="O351" s="62"/>
    </row>
    <row r="352" spans="1:15" ht="15" customHeight="1" x14ac:dyDescent="0.25">
      <c r="A352" s="8">
        <v>4</v>
      </c>
      <c r="B352" s="8">
        <v>2</v>
      </c>
      <c r="C352" s="8">
        <v>1</v>
      </c>
      <c r="D352" s="94" t="s">
        <v>213</v>
      </c>
      <c r="E352" s="7">
        <v>0.6</v>
      </c>
      <c r="F352" s="79">
        <f t="shared" ref="F352:F358" si="94">$E$4*E352</f>
        <v>84</v>
      </c>
      <c r="G352" s="8">
        <f t="shared" si="85"/>
        <v>60</v>
      </c>
      <c r="H352" s="8" t="str" cm="1">
        <f t="array" ref="H352">GetColorMatchValue(F352, $F$3:$F$10)</f>
        <v>fs</v>
      </c>
      <c r="I352" s="101" t="str">
        <f t="shared" ref="I352:I358" si="95">"&lt;tr data-section="""&amp;A351&amp;B351&amp;C351&amp;"""&gt;&lt;td&gt;"&amp;D351&amp;"&lt;/td&gt;&lt;td&gt;"&amp;G351&amp;"%&lt;/td&gt;&lt;td&gt;${percent("&amp;H351&amp;", "&amp;G351&amp;")}kg&lt;/td&gt;&lt;/tr&gt;"</f>
        <v>&lt;tr data-section="421"&gt;&lt;td&gt;Front Squat&lt;/td&gt;&lt;td&gt;%&lt;/td&gt;&lt;td&gt;${percent(, )}kg&lt;/td&gt;&lt;/tr&gt;</v>
      </c>
      <c r="N352" s="62"/>
      <c r="O352" s="62"/>
    </row>
    <row r="353" spans="1:15" ht="15" customHeight="1" x14ac:dyDescent="0.25">
      <c r="A353" s="8">
        <v>4</v>
      </c>
      <c r="B353" s="8">
        <v>2</v>
      </c>
      <c r="C353" s="8">
        <v>1</v>
      </c>
      <c r="D353" s="94" t="s">
        <v>213</v>
      </c>
      <c r="E353" s="7">
        <v>0.7</v>
      </c>
      <c r="F353" s="79">
        <f t="shared" si="94"/>
        <v>98</v>
      </c>
      <c r="G353" s="8">
        <f t="shared" si="85"/>
        <v>70</v>
      </c>
      <c r="H353" s="8" t="str" cm="1">
        <f t="array" ref="H353">GetColorMatchValue(F353, $F$3:$F$10)</f>
        <v>fs</v>
      </c>
      <c r="I353" s="101" t="str">
        <f t="shared" si="95"/>
        <v>&lt;tr data-section="421"&gt;&lt;td&gt;1 Set of 3 Reps&lt;/td&gt;&lt;td&gt;60%&lt;/td&gt;&lt;td&gt;${percent(fs, 60)}kg&lt;/td&gt;&lt;/tr&gt;</v>
      </c>
      <c r="N353" s="62"/>
      <c r="O353" s="62"/>
    </row>
    <row r="354" spans="1:15" ht="15" customHeight="1" x14ac:dyDescent="0.25">
      <c r="A354" s="8">
        <v>4</v>
      </c>
      <c r="B354" s="8">
        <v>2</v>
      </c>
      <c r="C354" s="8">
        <v>1</v>
      </c>
      <c r="D354" s="94" t="s">
        <v>213</v>
      </c>
      <c r="E354" s="7">
        <v>0.8</v>
      </c>
      <c r="F354" s="79">
        <f t="shared" si="94"/>
        <v>112</v>
      </c>
      <c r="G354" s="8">
        <f t="shared" si="85"/>
        <v>80</v>
      </c>
      <c r="H354" s="8" t="str" cm="1">
        <f t="array" ref="H354">GetColorMatchValue(F354, $F$3:$F$10)</f>
        <v>fs</v>
      </c>
      <c r="I354" s="101" t="str">
        <f t="shared" si="95"/>
        <v>&lt;tr data-section="421"&gt;&lt;td&gt;1 Set of 3 Reps&lt;/td&gt;&lt;td&gt;70%&lt;/td&gt;&lt;td&gt;${percent(fs, 70)}kg&lt;/td&gt;&lt;/tr&gt;</v>
      </c>
      <c r="N354" s="62"/>
      <c r="O354" s="62"/>
    </row>
    <row r="355" spans="1:15" ht="15" customHeight="1" x14ac:dyDescent="0.25">
      <c r="A355" s="8">
        <v>4</v>
      </c>
      <c r="B355" s="8">
        <v>2</v>
      </c>
      <c r="C355" s="8">
        <v>1</v>
      </c>
      <c r="D355" s="94" t="s">
        <v>213</v>
      </c>
      <c r="E355" s="7">
        <v>0.85</v>
      </c>
      <c r="F355" s="79">
        <f t="shared" si="94"/>
        <v>119</v>
      </c>
      <c r="G355" s="8">
        <f t="shared" si="85"/>
        <v>85</v>
      </c>
      <c r="H355" s="8" t="str" cm="1">
        <f t="array" ref="H355">GetColorMatchValue(F355, $F$3:$F$10)</f>
        <v>fs</v>
      </c>
      <c r="I355" s="101" t="str">
        <f t="shared" si="95"/>
        <v>&lt;tr data-section="421"&gt;&lt;td&gt;1 Set of 3 Reps&lt;/td&gt;&lt;td&gt;80%&lt;/td&gt;&lt;td&gt;${percent(fs, 80)}kg&lt;/td&gt;&lt;/tr&gt;</v>
      </c>
      <c r="N355" s="62"/>
      <c r="O355" s="62"/>
    </row>
    <row r="356" spans="1:15" ht="15" customHeight="1" x14ac:dyDescent="0.25">
      <c r="A356" s="8">
        <v>4</v>
      </c>
      <c r="B356" s="8">
        <v>2</v>
      </c>
      <c r="C356" s="8">
        <v>1</v>
      </c>
      <c r="D356" s="94" t="s">
        <v>236</v>
      </c>
      <c r="E356" s="7">
        <v>0.9</v>
      </c>
      <c r="F356" s="79">
        <f t="shared" si="94"/>
        <v>126</v>
      </c>
      <c r="G356" s="8">
        <f t="shared" si="85"/>
        <v>90</v>
      </c>
      <c r="H356" s="8" t="str" cm="1">
        <f t="array" ref="H356">GetColorMatchValue(F356, $F$3:$F$10)</f>
        <v>fs</v>
      </c>
      <c r="I356" s="101" t="str">
        <f t="shared" si="95"/>
        <v>&lt;tr data-section="421"&gt;&lt;td&gt;1 Set of 3 Reps&lt;/td&gt;&lt;td&gt;85%&lt;/td&gt;&lt;td&gt;${percent(fs, 85)}kg&lt;/td&gt;&lt;/tr&gt;</v>
      </c>
      <c r="N356" s="62"/>
      <c r="O356" s="62"/>
    </row>
    <row r="357" spans="1:15" ht="15" customHeight="1" x14ac:dyDescent="0.25">
      <c r="A357" s="8">
        <v>4</v>
      </c>
      <c r="B357" s="8">
        <v>2</v>
      </c>
      <c r="C357" s="8">
        <v>1</v>
      </c>
      <c r="D357" s="94" t="s">
        <v>213</v>
      </c>
      <c r="E357" s="7">
        <v>0.9</v>
      </c>
      <c r="F357" s="79">
        <f t="shared" si="94"/>
        <v>126</v>
      </c>
      <c r="G357" s="8">
        <f t="shared" si="85"/>
        <v>90</v>
      </c>
      <c r="H357" s="8" t="str" cm="1">
        <f t="array" ref="H357">GetColorMatchValue(F357, $F$3:$F$10)</f>
        <v>fs</v>
      </c>
      <c r="I357" s="101" t="str">
        <f t="shared" si="95"/>
        <v>&lt;tr data-section="421"&gt;&lt;td&gt;1 Set of 2 Reps&lt;/td&gt;&lt;td&gt;90%&lt;/td&gt;&lt;td&gt;${percent(fs, 90)}kg&lt;/td&gt;&lt;/tr&gt;</v>
      </c>
      <c r="N357" s="62"/>
      <c r="O357" s="62"/>
    </row>
    <row r="358" spans="1:15" ht="15" customHeight="1" x14ac:dyDescent="0.25">
      <c r="A358" s="8">
        <v>4</v>
      </c>
      <c r="B358" s="8">
        <v>2</v>
      </c>
      <c r="C358" s="8">
        <v>1</v>
      </c>
      <c r="D358" s="94" t="s">
        <v>213</v>
      </c>
      <c r="E358" s="7">
        <v>0.85</v>
      </c>
      <c r="F358" s="79">
        <f t="shared" si="94"/>
        <v>119</v>
      </c>
      <c r="G358" s="8">
        <f t="shared" si="85"/>
        <v>85</v>
      </c>
      <c r="H358" s="8" t="str" cm="1">
        <f t="array" ref="H358">GetColorMatchValue(F358, $F$3:$F$10)</f>
        <v>fs</v>
      </c>
      <c r="I358" s="101" t="str">
        <f t="shared" si="95"/>
        <v>&lt;tr data-section="421"&gt;&lt;td&gt;1 Set of 3 Reps&lt;/td&gt;&lt;td&gt;90%&lt;/td&gt;&lt;td&gt;${percent(fs, 90)}kg&lt;/td&gt;&lt;/tr&gt;</v>
      </c>
      <c r="N358" s="62"/>
      <c r="O358" s="62"/>
    </row>
    <row r="359" spans="1:15" ht="15" customHeight="1" x14ac:dyDescent="0.25">
      <c r="A359" s="8">
        <v>4</v>
      </c>
      <c r="B359" s="8">
        <v>2</v>
      </c>
      <c r="C359" s="8">
        <v>1</v>
      </c>
      <c r="D359" s="94"/>
      <c r="E359" s="8"/>
      <c r="F359" s="71"/>
      <c r="G359" s="8" t="str">
        <f t="shared" si="85"/>
        <v/>
      </c>
      <c r="H359" s="8" t="str" cm="1">
        <f t="array" ref="H359">GetColorMatchValue(F359, $F$3:$F$10)</f>
        <v/>
      </c>
      <c r="I359" s="96" t="s">
        <v>287</v>
      </c>
      <c r="N359" s="62"/>
      <c r="O359" s="62"/>
    </row>
    <row r="360" spans="1:15" ht="15" customHeight="1" x14ac:dyDescent="0.25">
      <c r="A360" s="8">
        <v>4</v>
      </c>
      <c r="B360" s="8">
        <v>2</v>
      </c>
      <c r="C360" s="8">
        <v>2</v>
      </c>
      <c r="D360" s="93" t="s">
        <v>60</v>
      </c>
      <c r="E360" s="8"/>
      <c r="F360" s="71"/>
      <c r="G360" s="8" t="str">
        <f t="shared" si="85"/>
        <v/>
      </c>
      <c r="H360" s="8" t="str" cm="1">
        <f t="array" ref="H360">GetColorMatchValue(F360, $F$3:$F$10)</f>
        <v/>
      </c>
      <c r="I360" s="99" t="str">
        <f>"&lt;tr&gt;&lt;th colspan=""3""&gt;&lt;label&gt;"&amp;D359&amp;"&lt;input type=""checkbox"" class=""section-toggle"" data-section="""&amp;A359&amp;B359&amp;C359&amp;"""/&gt;&lt;/label&gt;&lt;/th&gt;&lt;/tr&gt;"</f>
        <v>&lt;tr&gt;&lt;th colspan="3"&gt;&lt;label&gt;&lt;input type="checkbox" class="section-toggle" data-section="421"/&gt;&lt;/label&gt;&lt;/th&gt;&lt;/tr&gt;</v>
      </c>
      <c r="N360" s="62"/>
      <c r="O360" s="62"/>
    </row>
    <row r="361" spans="1:15" ht="15" customHeight="1" x14ac:dyDescent="0.25">
      <c r="A361" s="8">
        <v>4</v>
      </c>
      <c r="B361" s="8">
        <v>2</v>
      </c>
      <c r="C361" s="8">
        <v>2</v>
      </c>
      <c r="D361" s="94" t="s">
        <v>277</v>
      </c>
      <c r="E361" s="7">
        <v>0.6</v>
      </c>
      <c r="F361" s="73">
        <f>$E$7*E361</f>
        <v>57</v>
      </c>
      <c r="G361" s="8">
        <f t="shared" si="85"/>
        <v>60</v>
      </c>
      <c r="H361" s="8" t="str" cm="1">
        <f t="array" ref="H361">GetColorMatchValue(F361, $F$3:$F$10)</f>
        <v>s</v>
      </c>
      <c r="I361" s="101" t="str">
        <f t="shared" ref="I361:I369" si="96">"&lt;tr data-section="""&amp;A360&amp;B360&amp;C360&amp;"""&gt;&lt;td&gt;"&amp;D360&amp;"&lt;/td&gt;&lt;td&gt;"&amp;G360&amp;"%&lt;/td&gt;&lt;td&gt;${percent("&amp;H360&amp;", "&amp;G360&amp;")}kg&lt;/td&gt;&lt;/tr&gt;"</f>
        <v>&lt;tr data-section="422"&gt;&lt;td&gt;Power Snatch + Snatch Grip Behind the Neck Push Press&lt;/td&gt;&lt;td&gt;%&lt;/td&gt;&lt;td&gt;${percent(, )}kg&lt;/td&gt;&lt;/tr&gt;</v>
      </c>
      <c r="N361" s="62"/>
      <c r="O361" s="62"/>
    </row>
    <row r="362" spans="1:15" ht="15" customHeight="1" x14ac:dyDescent="0.25">
      <c r="A362" s="8">
        <v>4</v>
      </c>
      <c r="B362" s="8">
        <v>2</v>
      </c>
      <c r="C362" s="8">
        <v>2</v>
      </c>
      <c r="D362" s="94" t="s">
        <v>277</v>
      </c>
      <c r="E362" s="7">
        <v>0.65</v>
      </c>
      <c r="F362" s="73">
        <f t="shared" ref="F362:F369" si="97">$E$7*E362</f>
        <v>61.75</v>
      </c>
      <c r="G362" s="8">
        <f t="shared" si="85"/>
        <v>65</v>
      </c>
      <c r="H362" s="8" t="str" cm="1">
        <f t="array" ref="H362">GetColorMatchValue(F362, $F$3:$F$10)</f>
        <v>s</v>
      </c>
      <c r="I362" s="101" t="str">
        <f t="shared" si="96"/>
        <v>&lt;tr data-section="422"&gt;&lt;td&gt;1 Set of 3 P.Sn. + 3 Sn.G.B.N.P.Pr.&lt;/td&gt;&lt;td&gt;60%&lt;/td&gt;&lt;td&gt;${percent(s, 60)}kg&lt;/td&gt;&lt;/tr&gt;</v>
      </c>
      <c r="N362" s="62"/>
      <c r="O362" s="62"/>
    </row>
    <row r="363" spans="1:15" ht="15" customHeight="1" x14ac:dyDescent="0.25">
      <c r="A363" s="8">
        <v>4</v>
      </c>
      <c r="B363" s="8">
        <v>2</v>
      </c>
      <c r="C363" s="8">
        <v>2</v>
      </c>
      <c r="D363" s="94" t="s">
        <v>278</v>
      </c>
      <c r="E363" s="7">
        <v>0.7</v>
      </c>
      <c r="F363" s="73">
        <f t="shared" si="97"/>
        <v>66.5</v>
      </c>
      <c r="G363" s="8">
        <f t="shared" si="85"/>
        <v>70</v>
      </c>
      <c r="H363" s="8" t="str" cm="1">
        <f t="array" ref="H363">GetColorMatchValue(F363, $F$3:$F$10)</f>
        <v>s</v>
      </c>
      <c r="I363" s="101" t="str">
        <f t="shared" si="96"/>
        <v>&lt;tr data-section="422"&gt;&lt;td&gt;1 Set of 3 P.Sn. + 3 Sn.G.B.N.P.Pr.&lt;/td&gt;&lt;td&gt;65%&lt;/td&gt;&lt;td&gt;${percent(s, 65)}kg&lt;/td&gt;&lt;/tr&gt;</v>
      </c>
      <c r="N363" s="62"/>
      <c r="O363" s="62"/>
    </row>
    <row r="364" spans="1:15" ht="15" customHeight="1" x14ac:dyDescent="0.25">
      <c r="A364" s="8">
        <v>4</v>
      </c>
      <c r="B364" s="8">
        <v>2</v>
      </c>
      <c r="C364" s="8">
        <v>2</v>
      </c>
      <c r="D364" s="94" t="s">
        <v>277</v>
      </c>
      <c r="E364" s="7">
        <v>0.6</v>
      </c>
      <c r="F364" s="73">
        <f t="shared" si="97"/>
        <v>57</v>
      </c>
      <c r="G364" s="8">
        <f t="shared" si="85"/>
        <v>60</v>
      </c>
      <c r="H364" s="8" t="str" cm="1">
        <f t="array" ref="H364">GetColorMatchValue(F364, $F$3:$F$10)</f>
        <v>s</v>
      </c>
      <c r="I364" s="101" t="str">
        <f t="shared" si="96"/>
        <v>&lt;tr data-section="422"&gt;&lt;td&gt;1 Set of 2 P.Sn. + 3 Sn.G.B.N.P.Pr.&lt;/td&gt;&lt;td&gt;70%&lt;/td&gt;&lt;td&gt;${percent(s, 70)}kg&lt;/td&gt;&lt;/tr&gt;</v>
      </c>
      <c r="N364" s="62"/>
      <c r="O364" s="62"/>
    </row>
    <row r="365" spans="1:15" ht="15" customHeight="1" x14ac:dyDescent="0.25">
      <c r="A365" s="8">
        <v>4</v>
      </c>
      <c r="B365" s="8">
        <v>2</v>
      </c>
      <c r="C365" s="8">
        <v>2</v>
      </c>
      <c r="D365" s="94" t="s">
        <v>277</v>
      </c>
      <c r="E365" s="7">
        <v>0.65</v>
      </c>
      <c r="F365" s="73">
        <f t="shared" si="97"/>
        <v>61.75</v>
      </c>
      <c r="G365" s="8">
        <f t="shared" si="85"/>
        <v>65</v>
      </c>
      <c r="H365" s="8" t="str" cm="1">
        <f t="array" ref="H365">GetColorMatchValue(F365, $F$3:$F$10)</f>
        <v>s</v>
      </c>
      <c r="I365" s="101" t="str">
        <f t="shared" si="96"/>
        <v>&lt;tr data-section="422"&gt;&lt;td&gt;1 Set of 3 P.Sn. + 3 Sn.G.B.N.P.Pr.&lt;/td&gt;&lt;td&gt;60%&lt;/td&gt;&lt;td&gt;${percent(s, 60)}kg&lt;/td&gt;&lt;/tr&gt;</v>
      </c>
      <c r="N365" s="62"/>
      <c r="O365" s="62"/>
    </row>
    <row r="366" spans="1:15" ht="15" customHeight="1" x14ac:dyDescent="0.25">
      <c r="A366" s="8">
        <v>4</v>
      </c>
      <c r="B366" s="8">
        <v>2</v>
      </c>
      <c r="C366" s="8">
        <v>2</v>
      </c>
      <c r="D366" s="94" t="s">
        <v>278</v>
      </c>
      <c r="E366" s="7">
        <v>0.7</v>
      </c>
      <c r="F366" s="73">
        <f t="shared" si="97"/>
        <v>66.5</v>
      </c>
      <c r="G366" s="8">
        <f t="shared" si="85"/>
        <v>70</v>
      </c>
      <c r="H366" s="8" t="str" cm="1">
        <f t="array" ref="H366">GetColorMatchValue(F366, $F$3:$F$10)</f>
        <v>s</v>
      </c>
      <c r="I366" s="101" t="str">
        <f t="shared" si="96"/>
        <v>&lt;tr data-section="422"&gt;&lt;td&gt;1 Set of 3 P.Sn. + 3 Sn.G.B.N.P.Pr.&lt;/td&gt;&lt;td&gt;65%&lt;/td&gt;&lt;td&gt;${percent(s, 65)}kg&lt;/td&gt;&lt;/tr&gt;</v>
      </c>
      <c r="N366" s="62"/>
      <c r="O366" s="62"/>
    </row>
    <row r="367" spans="1:15" ht="15" customHeight="1" x14ac:dyDescent="0.25">
      <c r="A367" s="8">
        <v>4</v>
      </c>
      <c r="B367" s="8">
        <v>2</v>
      </c>
      <c r="C367" s="8">
        <v>2</v>
      </c>
      <c r="D367" s="94" t="s">
        <v>277</v>
      </c>
      <c r="E367" s="7">
        <v>0.6</v>
      </c>
      <c r="F367" s="73">
        <f t="shared" si="97"/>
        <v>57</v>
      </c>
      <c r="G367" s="8">
        <f t="shared" si="85"/>
        <v>60</v>
      </c>
      <c r="H367" s="8" t="str" cm="1">
        <f t="array" ref="H367">GetColorMatchValue(F367, $F$3:$F$10)</f>
        <v>s</v>
      </c>
      <c r="I367" s="101" t="str">
        <f t="shared" si="96"/>
        <v>&lt;tr data-section="422"&gt;&lt;td&gt;1 Set of 2 P.Sn. + 3 Sn.G.B.N.P.Pr.&lt;/td&gt;&lt;td&gt;70%&lt;/td&gt;&lt;td&gt;${percent(s, 70)}kg&lt;/td&gt;&lt;/tr&gt;</v>
      </c>
      <c r="N367" s="62"/>
      <c r="O367" s="62"/>
    </row>
    <row r="368" spans="1:15" ht="15" customHeight="1" x14ac:dyDescent="0.25">
      <c r="A368" s="8">
        <v>4</v>
      </c>
      <c r="B368" s="8">
        <v>2</v>
      </c>
      <c r="C368" s="8">
        <v>2</v>
      </c>
      <c r="D368" s="94" t="s">
        <v>277</v>
      </c>
      <c r="E368" s="7">
        <v>0.65</v>
      </c>
      <c r="F368" s="73">
        <f t="shared" si="97"/>
        <v>61.75</v>
      </c>
      <c r="G368" s="8">
        <f t="shared" si="85"/>
        <v>65</v>
      </c>
      <c r="H368" s="8" t="str" cm="1">
        <f t="array" ref="H368">GetColorMatchValue(F368, $F$3:$F$10)</f>
        <v>s</v>
      </c>
      <c r="I368" s="101" t="str">
        <f t="shared" si="96"/>
        <v>&lt;tr data-section="422"&gt;&lt;td&gt;1 Set of 3 P.Sn. + 3 Sn.G.B.N.P.Pr.&lt;/td&gt;&lt;td&gt;60%&lt;/td&gt;&lt;td&gt;${percent(s, 60)}kg&lt;/td&gt;&lt;/tr&gt;</v>
      </c>
      <c r="N368" s="62"/>
      <c r="O368" s="62"/>
    </row>
    <row r="369" spans="1:15" ht="15" customHeight="1" x14ac:dyDescent="0.25">
      <c r="A369" s="8">
        <v>4</v>
      </c>
      <c r="B369" s="8">
        <v>2</v>
      </c>
      <c r="C369" s="8">
        <v>2</v>
      </c>
      <c r="D369" s="94" t="s">
        <v>278</v>
      </c>
      <c r="E369" s="7">
        <v>0.7</v>
      </c>
      <c r="F369" s="73">
        <f t="shared" si="97"/>
        <v>66.5</v>
      </c>
      <c r="G369" s="8">
        <f t="shared" si="85"/>
        <v>70</v>
      </c>
      <c r="H369" s="8" t="str" cm="1">
        <f t="array" ref="H369">GetColorMatchValue(F369, $F$3:$F$10)</f>
        <v>s</v>
      </c>
      <c r="I369" s="101" t="str">
        <f t="shared" si="96"/>
        <v>&lt;tr data-section="422"&gt;&lt;td&gt;1 Set of 3 P.Sn. + 3 Sn.G.B.N.P.Pr.&lt;/td&gt;&lt;td&gt;65%&lt;/td&gt;&lt;td&gt;${percent(s, 65)}kg&lt;/td&gt;&lt;/tr&gt;</v>
      </c>
      <c r="N369" s="62"/>
      <c r="O369" s="62"/>
    </row>
    <row r="370" spans="1:15" ht="15" customHeight="1" x14ac:dyDescent="0.25">
      <c r="A370" s="8">
        <v>4</v>
      </c>
      <c r="B370" s="8">
        <v>2</v>
      </c>
      <c r="C370" s="8">
        <v>2</v>
      </c>
      <c r="D370" s="94"/>
      <c r="E370" s="8"/>
      <c r="F370" s="71"/>
      <c r="G370" s="8" t="str">
        <f t="shared" si="85"/>
        <v/>
      </c>
      <c r="H370" s="8" t="str" cm="1">
        <f t="array" ref="H370">GetColorMatchValue(F370, $F$3:$F$10)</f>
        <v/>
      </c>
      <c r="I370" s="96" t="s">
        <v>287</v>
      </c>
      <c r="N370" s="62"/>
      <c r="O370" s="62"/>
    </row>
    <row r="371" spans="1:15" ht="15" customHeight="1" x14ac:dyDescent="0.25">
      <c r="A371" s="8">
        <v>4</v>
      </c>
      <c r="B371" s="8">
        <v>2</v>
      </c>
      <c r="C371" s="8">
        <v>3</v>
      </c>
      <c r="D371" s="93" t="s">
        <v>20</v>
      </c>
      <c r="E371" s="8"/>
      <c r="F371" s="71"/>
      <c r="G371" s="8" t="str">
        <f t="shared" si="85"/>
        <v/>
      </c>
      <c r="H371" s="8" t="str" cm="1">
        <f t="array" ref="H371">GetColorMatchValue(F371, $F$3:$F$10)</f>
        <v/>
      </c>
      <c r="I371" s="99" t="str">
        <f>"&lt;tr&gt;&lt;th colspan=""3""&gt;&lt;label&gt;"&amp;D370&amp;"&lt;input type=""checkbox"" class=""section-toggle"" data-section="""&amp;A370&amp;B370&amp;C370&amp;"""/&gt;&lt;/label&gt;&lt;/th&gt;&lt;/tr&gt;"</f>
        <v>&lt;tr&gt;&lt;th colspan="3"&gt;&lt;label&gt;&lt;input type="checkbox" class="section-toggle" data-section="422"/&gt;&lt;/label&gt;&lt;/th&gt;&lt;/tr&gt;</v>
      </c>
      <c r="N371" s="62"/>
      <c r="O371" s="62"/>
    </row>
    <row r="372" spans="1:15" ht="15" customHeight="1" x14ac:dyDescent="0.25">
      <c r="A372" s="8">
        <v>4</v>
      </c>
      <c r="B372" s="8">
        <v>2</v>
      </c>
      <c r="C372" s="8">
        <v>3</v>
      </c>
      <c r="D372" s="94" t="s">
        <v>220</v>
      </c>
      <c r="E372" s="7">
        <v>0.9</v>
      </c>
      <c r="F372" s="75">
        <f t="shared" ref="F372:F376" si="98">$E$6*E372</f>
        <v>99</v>
      </c>
      <c r="G372" s="8">
        <f t="shared" si="85"/>
        <v>90</v>
      </c>
      <c r="H372" s="8" t="str" cm="1">
        <f t="array" ref="H372">GetColorMatchValue(F372, $F$3:$F$10)</f>
        <v>c</v>
      </c>
      <c r="I372" s="101" t="str">
        <f t="shared" ref="I372:I376" si="99">"&lt;tr data-section="""&amp;A371&amp;B371&amp;C371&amp;"""&gt;&lt;td&gt;"&amp;D371&amp;"&lt;/td&gt;&lt;td&gt;"&amp;G371&amp;"%&lt;/td&gt;&lt;td&gt;${percent("&amp;H371&amp;", "&amp;G371&amp;")}kg&lt;/td&gt;&lt;/tr&gt;"</f>
        <v>&lt;tr data-section="423"&gt;&lt;td&gt;Clean Deadlift&lt;/td&gt;&lt;td&gt;%&lt;/td&gt;&lt;td&gt;${percent(, )}kg&lt;/td&gt;&lt;/tr&gt;</v>
      </c>
      <c r="N372" s="62"/>
      <c r="O372" s="62"/>
    </row>
    <row r="373" spans="1:15" ht="15" customHeight="1" x14ac:dyDescent="0.25">
      <c r="A373" s="8">
        <v>4</v>
      </c>
      <c r="B373" s="8">
        <v>2</v>
      </c>
      <c r="C373" s="8">
        <v>3</v>
      </c>
      <c r="D373" s="94" t="s">
        <v>213</v>
      </c>
      <c r="E373" s="7">
        <v>1</v>
      </c>
      <c r="F373" s="75">
        <f t="shared" si="98"/>
        <v>110</v>
      </c>
      <c r="G373" s="8">
        <f t="shared" si="85"/>
        <v>100</v>
      </c>
      <c r="H373" s="8" t="str" cm="1">
        <f t="array" ref="H373">GetColorMatchValue(F373, $F$3:$F$10)</f>
        <v>c</v>
      </c>
      <c r="I373" s="101" t="str">
        <f t="shared" si="99"/>
        <v>&lt;tr data-section="423"&gt;&lt;td&gt;1 Set of 4 Reps&lt;/td&gt;&lt;td&gt;90%&lt;/td&gt;&lt;td&gt;${percent(c, 90)}kg&lt;/td&gt;&lt;/tr&gt;</v>
      </c>
      <c r="N373" s="62"/>
      <c r="O373" s="62"/>
    </row>
    <row r="374" spans="1:15" ht="15" customHeight="1" x14ac:dyDescent="0.25">
      <c r="A374" s="8">
        <v>4</v>
      </c>
      <c r="B374" s="8">
        <v>2</v>
      </c>
      <c r="C374" s="8">
        <v>3</v>
      </c>
      <c r="D374" s="94" t="s">
        <v>220</v>
      </c>
      <c r="E374" s="7">
        <v>0.9</v>
      </c>
      <c r="F374" s="75">
        <f t="shared" si="98"/>
        <v>99</v>
      </c>
      <c r="G374" s="8">
        <f t="shared" si="85"/>
        <v>90</v>
      </c>
      <c r="H374" s="8" t="str" cm="1">
        <f t="array" ref="H374">GetColorMatchValue(F374, $F$3:$F$10)</f>
        <v>c</v>
      </c>
      <c r="I374" s="101" t="str">
        <f t="shared" si="99"/>
        <v>&lt;tr data-section="423"&gt;&lt;td&gt;1 Set of 3 Reps&lt;/td&gt;&lt;td&gt;100%&lt;/td&gt;&lt;td&gt;${percent(c, 100)}kg&lt;/td&gt;&lt;/tr&gt;</v>
      </c>
      <c r="N374" s="62"/>
      <c r="O374" s="62"/>
    </row>
    <row r="375" spans="1:15" ht="15" customHeight="1" x14ac:dyDescent="0.25">
      <c r="A375" s="8">
        <v>4</v>
      </c>
      <c r="B375" s="8">
        <v>2</v>
      </c>
      <c r="C375" s="8">
        <v>3</v>
      </c>
      <c r="D375" s="94" t="s">
        <v>236</v>
      </c>
      <c r="E375" s="7">
        <v>1</v>
      </c>
      <c r="F375" s="75">
        <f t="shared" si="98"/>
        <v>110</v>
      </c>
      <c r="G375" s="8">
        <f t="shared" ref="G375:G433" si="100">IF(ISNUMBER(E375), E375 * 100, "")</f>
        <v>100</v>
      </c>
      <c r="H375" s="8" t="str" cm="1">
        <f t="array" ref="H375">GetColorMatchValue(F375, $F$3:$F$10)</f>
        <v>c</v>
      </c>
      <c r="I375" s="101" t="str">
        <f t="shared" si="99"/>
        <v>&lt;tr data-section="423"&gt;&lt;td&gt;1 Set of 4 Reps&lt;/td&gt;&lt;td&gt;90%&lt;/td&gt;&lt;td&gt;${percent(c, 90)}kg&lt;/td&gt;&lt;/tr&gt;</v>
      </c>
      <c r="N375" s="62"/>
      <c r="O375" s="62"/>
    </row>
    <row r="376" spans="1:15" ht="15" customHeight="1" x14ac:dyDescent="0.25">
      <c r="A376" s="8">
        <v>4</v>
      </c>
      <c r="B376" s="8">
        <v>2</v>
      </c>
      <c r="C376" s="8">
        <v>3</v>
      </c>
      <c r="D376" s="94" t="s">
        <v>220</v>
      </c>
      <c r="E376" s="7">
        <v>0.9</v>
      </c>
      <c r="F376" s="75">
        <f t="shared" si="98"/>
        <v>99</v>
      </c>
      <c r="G376" s="8">
        <f t="shared" si="100"/>
        <v>90</v>
      </c>
      <c r="H376" s="8" t="str" cm="1">
        <f t="array" ref="H376">GetColorMatchValue(F376, $F$3:$F$10)</f>
        <v>c</v>
      </c>
      <c r="I376" s="101" t="str">
        <f t="shared" si="99"/>
        <v>&lt;tr data-section="423"&gt;&lt;td&gt;1 Set of 2 Reps&lt;/td&gt;&lt;td&gt;100%&lt;/td&gt;&lt;td&gt;${percent(c, 100)}kg&lt;/td&gt;&lt;/tr&gt;</v>
      </c>
      <c r="N376" s="62"/>
      <c r="O376" s="62"/>
    </row>
    <row r="377" spans="1:15" ht="15" customHeight="1" x14ac:dyDescent="0.25">
      <c r="A377" s="8">
        <v>4</v>
      </c>
      <c r="B377" s="8">
        <v>3</v>
      </c>
      <c r="C377" s="8">
        <v>1</v>
      </c>
      <c r="D377" s="93" t="s">
        <v>61</v>
      </c>
      <c r="E377" s="8"/>
      <c r="F377" s="71"/>
      <c r="G377" s="8" t="str">
        <f t="shared" si="100"/>
        <v/>
      </c>
      <c r="H377" s="8" t="str" cm="1">
        <f t="array" ref="H377">GetColorMatchValue(F377, $F$3:$F$10)</f>
        <v/>
      </c>
      <c r="I377" s="99" t="str">
        <f>"&lt;tr&gt;&lt;th colspan=""3""&gt;&lt;label&gt;"&amp;D376&amp;"&lt;input type=""checkbox"" class=""section-toggle"" data-section="""&amp;A376&amp;B376&amp;C376&amp;"""/&gt;&lt;/label&gt;&lt;/th&gt;&lt;/tr&gt;"</f>
        <v>&lt;tr&gt;&lt;th colspan="3"&gt;&lt;label&gt;1 Set of 4 Reps&lt;input type="checkbox" class="section-toggle" data-section="423"/&gt;&lt;/label&gt;&lt;/th&gt;&lt;/tr&gt;</v>
      </c>
      <c r="L377" s="45"/>
      <c r="N377" s="62"/>
      <c r="O377" s="62"/>
    </row>
    <row r="378" spans="1:15" ht="15" customHeight="1" x14ac:dyDescent="0.25">
      <c r="A378" s="8">
        <v>4</v>
      </c>
      <c r="B378" s="8">
        <v>3</v>
      </c>
      <c r="C378" s="8">
        <v>1</v>
      </c>
      <c r="D378" s="94" t="s">
        <v>228</v>
      </c>
      <c r="E378" s="7">
        <v>0.6</v>
      </c>
      <c r="F378" s="72">
        <f>$E$3*E378</f>
        <v>120</v>
      </c>
      <c r="G378" s="8">
        <f t="shared" si="100"/>
        <v>60</v>
      </c>
      <c r="H378" s="8" t="str" cm="1">
        <f t="array" ref="H378">GetColorMatchValue(F378, $F$3:$F$10)</f>
        <v>bs</v>
      </c>
      <c r="I378" s="101" t="str">
        <f t="shared" ref="I378:I381" si="101">"&lt;tr data-section="""&amp;A377&amp;B377&amp;C377&amp;"""&gt;&lt;td&gt;"&amp;D377&amp;"&lt;/td&gt;&lt;td&gt;"&amp;G377&amp;"%&lt;/td&gt;&lt;td&gt;${percent("&amp;H377&amp;", "&amp;G377&amp;")}kg&lt;/td&gt;&lt;/tr&gt;"</f>
        <v>&lt;tr data-section="431"&gt;&lt;td&gt;Back Squats&lt;/td&gt;&lt;td&gt;%&lt;/td&gt;&lt;td&gt;${percent(, )}kg&lt;/td&gt;&lt;/tr&gt;</v>
      </c>
      <c r="L378" s="45"/>
      <c r="N378" s="62"/>
      <c r="O378" s="62"/>
    </row>
    <row r="379" spans="1:15" ht="15" customHeight="1" x14ac:dyDescent="0.25">
      <c r="A379" s="8">
        <v>4</v>
      </c>
      <c r="B379" s="8">
        <v>3</v>
      </c>
      <c r="C379" s="8">
        <v>1</v>
      </c>
      <c r="D379" s="94" t="s">
        <v>228</v>
      </c>
      <c r="E379" s="7">
        <v>0.7</v>
      </c>
      <c r="F379" s="72">
        <f>$E$3*E379</f>
        <v>140</v>
      </c>
      <c r="G379" s="8">
        <f t="shared" si="100"/>
        <v>70</v>
      </c>
      <c r="H379" s="8" t="str" cm="1">
        <f t="array" ref="H379">GetColorMatchValue(F379, $F$3:$F$10)</f>
        <v>bs</v>
      </c>
      <c r="I379" s="101" t="str">
        <f t="shared" si="101"/>
        <v>&lt;tr data-section="431"&gt;&lt;td&gt;1 Set of 5 Reps&lt;/td&gt;&lt;td&gt;60%&lt;/td&gt;&lt;td&gt;${percent(bs, 60)}kg&lt;/td&gt;&lt;/tr&gt;</v>
      </c>
      <c r="L379" s="45"/>
      <c r="N379" s="62"/>
      <c r="O379" s="62"/>
    </row>
    <row r="380" spans="1:15" ht="15" customHeight="1" x14ac:dyDescent="0.25">
      <c r="A380" s="8">
        <v>4</v>
      </c>
      <c r="B380" s="8">
        <v>3</v>
      </c>
      <c r="C380" s="8">
        <v>1</v>
      </c>
      <c r="D380" s="94" t="s">
        <v>220</v>
      </c>
      <c r="E380" s="7">
        <v>0.8</v>
      </c>
      <c r="F380" s="72">
        <f>$E$3*E380</f>
        <v>160</v>
      </c>
      <c r="G380" s="8">
        <f t="shared" si="100"/>
        <v>80</v>
      </c>
      <c r="H380" s="8" t="str" cm="1">
        <f t="array" ref="H380">GetColorMatchValue(F380, $F$3:$F$10)</f>
        <v>bs</v>
      </c>
      <c r="I380" s="101" t="str">
        <f t="shared" si="101"/>
        <v>&lt;tr data-section="431"&gt;&lt;td&gt;1 Set of 5 Reps&lt;/td&gt;&lt;td&gt;70%&lt;/td&gt;&lt;td&gt;${percent(bs, 70)}kg&lt;/td&gt;&lt;/tr&gt;</v>
      </c>
      <c r="L380" s="45"/>
      <c r="N380" s="62"/>
      <c r="O380" s="62"/>
    </row>
    <row r="381" spans="1:15" ht="15" customHeight="1" x14ac:dyDescent="0.25">
      <c r="A381" s="8">
        <v>4</v>
      </c>
      <c r="B381" s="8">
        <v>3</v>
      </c>
      <c r="C381" s="8">
        <v>1</v>
      </c>
      <c r="D381" s="94" t="s">
        <v>220</v>
      </c>
      <c r="E381" s="7">
        <v>0.85</v>
      </c>
      <c r="F381" s="72">
        <f t="shared" ref="F381" si="102">$E$3*E381</f>
        <v>170</v>
      </c>
      <c r="G381" s="8">
        <f t="shared" si="100"/>
        <v>85</v>
      </c>
      <c r="H381" s="8" t="str" cm="1">
        <f t="array" ref="H381">GetColorMatchValue(F381, $F$3:$F$10)</f>
        <v>bs</v>
      </c>
      <c r="I381" s="101" t="str">
        <f t="shared" si="101"/>
        <v>&lt;tr data-section="431"&gt;&lt;td&gt;1 Set of 4 Reps&lt;/td&gt;&lt;td&gt;80%&lt;/td&gt;&lt;td&gt;${percent(bs, 80)}kg&lt;/td&gt;&lt;/tr&gt;</v>
      </c>
      <c r="L381" s="45"/>
      <c r="N381" s="62"/>
      <c r="O381" s="62"/>
    </row>
    <row r="382" spans="1:15" ht="15" customHeight="1" x14ac:dyDescent="0.25">
      <c r="A382" s="8">
        <v>4</v>
      </c>
      <c r="B382" s="8">
        <v>3</v>
      </c>
      <c r="C382" s="8">
        <v>1</v>
      </c>
      <c r="D382" s="94"/>
      <c r="E382" s="8"/>
      <c r="F382" s="71"/>
      <c r="G382" s="8" t="str">
        <f t="shared" si="100"/>
        <v/>
      </c>
      <c r="H382" s="8" t="str" cm="1">
        <f t="array" ref="H382">GetColorMatchValue(F382, $F$3:$F$10)</f>
        <v/>
      </c>
      <c r="I382" s="96" t="s">
        <v>287</v>
      </c>
      <c r="L382" s="45"/>
      <c r="N382" s="62"/>
      <c r="O382" s="62"/>
    </row>
    <row r="383" spans="1:15" ht="15" customHeight="1" x14ac:dyDescent="0.25">
      <c r="A383" s="8">
        <v>4</v>
      </c>
      <c r="B383" s="8">
        <v>3</v>
      </c>
      <c r="C383" s="8">
        <v>2</v>
      </c>
      <c r="D383" s="93" t="s">
        <v>42</v>
      </c>
      <c r="E383" s="8"/>
      <c r="F383" s="71"/>
      <c r="G383" s="8" t="str">
        <f t="shared" si="100"/>
        <v/>
      </c>
      <c r="H383" s="8" t="str" cm="1">
        <f t="array" ref="H383">GetColorMatchValue(F383, $F$3:$F$10)</f>
        <v/>
      </c>
      <c r="I383" s="99" t="str">
        <f>"&lt;tr&gt;&lt;th colspan=""3""&gt;&lt;label&gt;"&amp;D382&amp;"&lt;input type=""checkbox"" class=""section-toggle"" data-section="""&amp;A382&amp;B382&amp;C382&amp;"""/&gt;&lt;/label&gt;&lt;/th&gt;&lt;/tr&gt;"</f>
        <v>&lt;tr&gt;&lt;th colspan="3"&gt;&lt;label&gt;&lt;input type="checkbox" class="section-toggle" data-section="431"/&gt;&lt;/label&gt;&lt;/th&gt;&lt;/tr&gt;</v>
      </c>
      <c r="L383" s="45"/>
      <c r="N383" s="62"/>
      <c r="O383" s="62"/>
    </row>
    <row r="384" spans="1:15" ht="15" customHeight="1" x14ac:dyDescent="0.25">
      <c r="A384" s="8">
        <v>4</v>
      </c>
      <c r="B384" s="8">
        <v>3</v>
      </c>
      <c r="C384" s="8">
        <v>2</v>
      </c>
      <c r="D384" s="94" t="s">
        <v>236</v>
      </c>
      <c r="E384" s="7">
        <v>0.6</v>
      </c>
      <c r="F384" s="73">
        <f t="shared" ref="F384:F388" si="103">$E$7*E384</f>
        <v>57</v>
      </c>
      <c r="G384" s="8">
        <f t="shared" si="100"/>
        <v>60</v>
      </c>
      <c r="H384" s="8" t="str" cm="1">
        <f t="array" ref="H384">GetColorMatchValue(F384, $F$3:$F$10)</f>
        <v>s</v>
      </c>
      <c r="I384" s="101" t="str">
        <f t="shared" ref="I384:I388" si="104">"&lt;tr data-section="""&amp;A383&amp;B383&amp;C383&amp;"""&gt;&lt;td&gt;"&amp;D383&amp;"&lt;/td&gt;&lt;td&gt;"&amp;G383&amp;"%&lt;/td&gt;&lt;td&gt;${percent("&amp;H383&amp;", "&amp;G383&amp;")}kg&lt;/td&gt;&lt;/tr&gt;"</f>
        <v>&lt;tr data-section="432"&gt;&lt;td&gt;Snatch&lt;/td&gt;&lt;td&gt;%&lt;/td&gt;&lt;td&gt;${percent(, )}kg&lt;/td&gt;&lt;/tr&gt;</v>
      </c>
      <c r="L384" s="45"/>
      <c r="N384" s="62"/>
      <c r="O384" s="62"/>
    </row>
    <row r="385" spans="1:15" ht="15" customHeight="1" x14ac:dyDescent="0.25">
      <c r="A385" s="8">
        <v>4</v>
      </c>
      <c r="B385" s="8">
        <v>3</v>
      </c>
      <c r="C385" s="8">
        <v>2</v>
      </c>
      <c r="D385" s="94" t="s">
        <v>236</v>
      </c>
      <c r="E385" s="7">
        <v>0.7</v>
      </c>
      <c r="F385" s="73">
        <f t="shared" si="103"/>
        <v>66.5</v>
      </c>
      <c r="G385" s="8">
        <f t="shared" si="100"/>
        <v>70</v>
      </c>
      <c r="H385" s="8" t="str" cm="1">
        <f t="array" ref="H385">GetColorMatchValue(F385, $F$3:$F$10)</f>
        <v>s</v>
      </c>
      <c r="I385" s="101" t="str">
        <f t="shared" si="104"/>
        <v>&lt;tr data-section="432"&gt;&lt;td&gt;1 Set of 2 Reps&lt;/td&gt;&lt;td&gt;60%&lt;/td&gt;&lt;td&gt;${percent(s, 60)}kg&lt;/td&gt;&lt;/tr&gt;</v>
      </c>
      <c r="L385" s="45"/>
      <c r="N385" s="62"/>
      <c r="O385" s="62"/>
    </row>
    <row r="386" spans="1:15" ht="15" customHeight="1" x14ac:dyDescent="0.25">
      <c r="A386" s="8">
        <v>4</v>
      </c>
      <c r="B386" s="8">
        <v>3</v>
      </c>
      <c r="C386" s="8">
        <v>2</v>
      </c>
      <c r="D386" s="94" t="s">
        <v>236</v>
      </c>
      <c r="E386" s="7">
        <v>0.8</v>
      </c>
      <c r="F386" s="73">
        <f t="shared" si="103"/>
        <v>76</v>
      </c>
      <c r="G386" s="8">
        <f t="shared" si="100"/>
        <v>80</v>
      </c>
      <c r="H386" s="8" t="str" cm="1">
        <f t="array" ref="H386">GetColorMatchValue(F386, $F$3:$F$10)</f>
        <v>s</v>
      </c>
      <c r="I386" s="101" t="str">
        <f t="shared" si="104"/>
        <v>&lt;tr data-section="432"&gt;&lt;td&gt;1 Set of 2 Reps&lt;/td&gt;&lt;td&gt;70%&lt;/td&gt;&lt;td&gt;${percent(s, 70)}kg&lt;/td&gt;&lt;/tr&gt;</v>
      </c>
      <c r="L386" s="45"/>
      <c r="N386" s="62"/>
      <c r="O386" s="62"/>
    </row>
    <row r="387" spans="1:15" ht="15" customHeight="1" x14ac:dyDescent="0.25">
      <c r="A387" s="8">
        <v>4</v>
      </c>
      <c r="B387" s="8">
        <v>3</v>
      </c>
      <c r="C387" s="8">
        <v>2</v>
      </c>
      <c r="D387" s="94" t="s">
        <v>212</v>
      </c>
      <c r="E387" s="7">
        <v>0.85</v>
      </c>
      <c r="F387" s="73">
        <f t="shared" si="103"/>
        <v>80.75</v>
      </c>
      <c r="G387" s="8">
        <f t="shared" si="100"/>
        <v>85</v>
      </c>
      <c r="H387" s="8" t="str" cm="1">
        <f t="array" ref="H387">GetColorMatchValue(F387, $F$3:$F$10)</f>
        <v>s</v>
      </c>
      <c r="I387" s="101" t="str">
        <f t="shared" si="104"/>
        <v>&lt;tr data-section="432"&gt;&lt;td&gt;1 Set of 2 Reps&lt;/td&gt;&lt;td&gt;80%&lt;/td&gt;&lt;td&gt;${percent(s, 80)}kg&lt;/td&gt;&lt;/tr&gt;</v>
      </c>
      <c r="L387" s="45"/>
      <c r="N387" s="62"/>
      <c r="O387" s="62"/>
    </row>
    <row r="388" spans="1:15" ht="15" customHeight="1" x14ac:dyDescent="0.25">
      <c r="A388" s="8">
        <v>4</v>
      </c>
      <c r="B388" s="8">
        <v>3</v>
      </c>
      <c r="C388" s="8">
        <v>2</v>
      </c>
      <c r="D388" s="94" t="s">
        <v>212</v>
      </c>
      <c r="E388" s="7">
        <v>0.9</v>
      </c>
      <c r="F388" s="73">
        <f t="shared" si="103"/>
        <v>85.5</v>
      </c>
      <c r="G388" s="8">
        <f t="shared" si="100"/>
        <v>90</v>
      </c>
      <c r="H388" s="8" t="str" cm="1">
        <f t="array" ref="H388">GetColorMatchValue(F388, $F$3:$F$10)</f>
        <v>s</v>
      </c>
      <c r="I388" s="101" t="str">
        <f t="shared" si="104"/>
        <v>&lt;tr data-section="432"&gt;&lt;td&gt;1 Set of 1 Rep&lt;/td&gt;&lt;td&gt;85%&lt;/td&gt;&lt;td&gt;${percent(s, 85)}kg&lt;/td&gt;&lt;/tr&gt;</v>
      </c>
      <c r="L388" s="45"/>
      <c r="N388" s="62"/>
      <c r="O388" s="62"/>
    </row>
    <row r="389" spans="1:15" ht="15" customHeight="1" x14ac:dyDescent="0.25">
      <c r="A389" s="8">
        <v>4</v>
      </c>
      <c r="B389" s="8">
        <v>3</v>
      </c>
      <c r="C389" s="8">
        <v>2</v>
      </c>
      <c r="D389" s="94"/>
      <c r="E389" s="8"/>
      <c r="F389" s="71"/>
      <c r="G389" s="8" t="str">
        <f t="shared" si="100"/>
        <v/>
      </c>
      <c r="H389" s="8" t="str" cm="1">
        <f t="array" ref="H389">GetColorMatchValue(F389, $F$3:$F$10)</f>
        <v/>
      </c>
      <c r="I389" s="96" t="s">
        <v>287</v>
      </c>
      <c r="L389" s="45"/>
      <c r="N389" s="62"/>
      <c r="O389" s="62"/>
    </row>
    <row r="390" spans="1:15" ht="15" customHeight="1" x14ac:dyDescent="0.25">
      <c r="A390" s="8">
        <v>4</v>
      </c>
      <c r="B390" s="8">
        <v>3</v>
      </c>
      <c r="C390" s="8">
        <v>3</v>
      </c>
      <c r="D390" s="93" t="s">
        <v>43</v>
      </c>
      <c r="E390" s="8"/>
      <c r="F390" s="71"/>
      <c r="G390" s="8" t="str">
        <f t="shared" si="100"/>
        <v/>
      </c>
      <c r="H390" s="8" t="str" cm="1">
        <f t="array" ref="H390">GetColorMatchValue(F390, $F$3:$F$10)</f>
        <v/>
      </c>
      <c r="I390" s="99" t="str">
        <f>"&lt;tr&gt;&lt;th colspan=""3""&gt;&lt;label&gt;"&amp;D389&amp;"&lt;input type=""checkbox"" class=""section-toggle"" data-section="""&amp;A389&amp;B389&amp;C389&amp;"""/&gt;&lt;/label&gt;&lt;/th&gt;&lt;/tr&gt;"</f>
        <v>&lt;tr&gt;&lt;th colspan="3"&gt;&lt;label&gt;&lt;input type="checkbox" class="section-toggle" data-section="432"/&gt;&lt;/label&gt;&lt;/th&gt;&lt;/tr&gt;</v>
      </c>
      <c r="L390" s="45"/>
      <c r="N390" s="62"/>
      <c r="O390" s="62"/>
    </row>
    <row r="391" spans="1:15" ht="15" customHeight="1" x14ac:dyDescent="0.25">
      <c r="A391" s="8">
        <v>4</v>
      </c>
      <c r="B391" s="8">
        <v>3</v>
      </c>
      <c r="C391" s="8">
        <v>3</v>
      </c>
      <c r="D391" s="94" t="s">
        <v>230</v>
      </c>
      <c r="E391" s="7">
        <v>0.6</v>
      </c>
      <c r="F391" s="77">
        <f t="shared" ref="F391:F395" si="105">$E$8*E391</f>
        <v>69</v>
      </c>
      <c r="G391" s="8">
        <f t="shared" si="100"/>
        <v>60</v>
      </c>
      <c r="H391" s="8" t="str" cm="1">
        <f t="array" ref="H391">GetColorMatchValue(F391, $F$3:$F$10)</f>
        <v>cj</v>
      </c>
      <c r="I391" s="101" t="str">
        <f t="shared" ref="I391:I395" si="106">"&lt;tr data-section="""&amp;A390&amp;B390&amp;C390&amp;"""&gt;&lt;td&gt;"&amp;D390&amp;"&lt;/td&gt;&lt;td&gt;"&amp;G390&amp;"%&lt;/td&gt;&lt;td&gt;${percent("&amp;H390&amp;", "&amp;G390&amp;")}kg&lt;/td&gt;&lt;/tr&gt;"</f>
        <v>&lt;tr data-section="433"&gt;&lt;td&gt;Clean + Jerk&lt;/td&gt;&lt;td&gt;%&lt;/td&gt;&lt;td&gt;${percent(, )}kg&lt;/td&gt;&lt;/tr&gt;</v>
      </c>
      <c r="L391" s="45"/>
      <c r="N391" s="62"/>
      <c r="O391" s="62"/>
    </row>
    <row r="392" spans="1:15" ht="15" customHeight="1" x14ac:dyDescent="0.25">
      <c r="A392" s="8">
        <v>4</v>
      </c>
      <c r="B392" s="8">
        <v>3</v>
      </c>
      <c r="C392" s="8">
        <v>3</v>
      </c>
      <c r="D392" s="94" t="s">
        <v>230</v>
      </c>
      <c r="E392" s="7">
        <v>0.7</v>
      </c>
      <c r="F392" s="77">
        <f t="shared" si="105"/>
        <v>80.5</v>
      </c>
      <c r="G392" s="8">
        <f t="shared" si="100"/>
        <v>70</v>
      </c>
      <c r="H392" s="8" t="str" cm="1">
        <f t="array" ref="H392">GetColorMatchValue(F392, $F$3:$F$10)</f>
        <v>cj</v>
      </c>
      <c r="I392" s="101" t="str">
        <f t="shared" si="106"/>
        <v>&lt;tr data-section="433"&gt;&lt;td&gt;1 Set of 2 Cl. + 1 Jr.&lt;/td&gt;&lt;td&gt;60%&lt;/td&gt;&lt;td&gt;${percent(cj, 60)}kg&lt;/td&gt;&lt;/tr&gt;</v>
      </c>
      <c r="L392" s="45"/>
      <c r="N392" s="62"/>
      <c r="O392" s="62"/>
    </row>
    <row r="393" spans="1:15" ht="15" customHeight="1" x14ac:dyDescent="0.25">
      <c r="A393" s="8">
        <v>4</v>
      </c>
      <c r="B393" s="8">
        <v>3</v>
      </c>
      <c r="C393" s="8">
        <v>3</v>
      </c>
      <c r="D393" s="94" t="s">
        <v>230</v>
      </c>
      <c r="E393" s="7">
        <v>0.8</v>
      </c>
      <c r="F393" s="77">
        <f t="shared" si="105"/>
        <v>92</v>
      </c>
      <c r="G393" s="8">
        <f t="shared" si="100"/>
        <v>80</v>
      </c>
      <c r="H393" s="8" t="str" cm="1">
        <f t="array" ref="H393">GetColorMatchValue(F393, $F$3:$F$10)</f>
        <v>cj</v>
      </c>
      <c r="I393" s="101" t="str">
        <f t="shared" si="106"/>
        <v>&lt;tr data-section="433"&gt;&lt;td&gt;1 Set of 2 Cl. + 1 Jr.&lt;/td&gt;&lt;td&gt;70%&lt;/td&gt;&lt;td&gt;${percent(cj, 70)}kg&lt;/td&gt;&lt;/tr&gt;</v>
      </c>
      <c r="L393" s="45"/>
      <c r="N393" s="62"/>
      <c r="O393" s="62"/>
    </row>
    <row r="394" spans="1:15" ht="15" customHeight="1" x14ac:dyDescent="0.25">
      <c r="A394" s="8">
        <v>4</v>
      </c>
      <c r="B394" s="8">
        <v>3</v>
      </c>
      <c r="C394" s="8">
        <v>3</v>
      </c>
      <c r="D394" s="94" t="s">
        <v>257</v>
      </c>
      <c r="E394" s="7">
        <v>0.85</v>
      </c>
      <c r="F394" s="77">
        <f t="shared" si="105"/>
        <v>97.75</v>
      </c>
      <c r="G394" s="8">
        <f t="shared" si="100"/>
        <v>85</v>
      </c>
      <c r="H394" s="8" t="str" cm="1">
        <f t="array" ref="H394">GetColorMatchValue(F394, $F$3:$F$10)</f>
        <v>cj</v>
      </c>
      <c r="I394" s="101" t="str">
        <f t="shared" si="106"/>
        <v>&lt;tr data-section="433"&gt;&lt;td&gt;1 Set of 2 Cl. + 1 Jr.&lt;/td&gt;&lt;td&gt;80%&lt;/td&gt;&lt;td&gt;${percent(cj, 80)}kg&lt;/td&gt;&lt;/tr&gt;</v>
      </c>
      <c r="L394" s="45"/>
      <c r="N394" s="62"/>
      <c r="O394" s="62"/>
    </row>
    <row r="395" spans="1:15" ht="15" customHeight="1" x14ac:dyDescent="0.25">
      <c r="A395" s="8">
        <v>4</v>
      </c>
      <c r="B395" s="8">
        <v>3</v>
      </c>
      <c r="C395" s="8">
        <v>3</v>
      </c>
      <c r="D395" s="94" t="s">
        <v>257</v>
      </c>
      <c r="E395" s="7">
        <v>0.9</v>
      </c>
      <c r="F395" s="77">
        <f t="shared" si="105"/>
        <v>103.5</v>
      </c>
      <c r="G395" s="8">
        <f t="shared" si="100"/>
        <v>90</v>
      </c>
      <c r="H395" s="8" t="str" cm="1">
        <f t="array" ref="H395">GetColorMatchValue(F395, $F$3:$F$10)</f>
        <v>cj</v>
      </c>
      <c r="I395" s="101" t="str">
        <f t="shared" si="106"/>
        <v>&lt;tr data-section="433"&gt;&lt;td&gt;1 Set of 1 Cl. + 1 Jr.&lt;/td&gt;&lt;td&gt;85%&lt;/td&gt;&lt;td&gt;${percent(cj, 85)}kg&lt;/td&gt;&lt;/tr&gt;</v>
      </c>
      <c r="L395" s="45"/>
      <c r="N395" s="62"/>
      <c r="O395" s="62"/>
    </row>
    <row r="396" spans="1:15" ht="15" customHeight="1" x14ac:dyDescent="0.25">
      <c r="A396" s="8">
        <v>4</v>
      </c>
      <c r="B396" s="8">
        <v>3</v>
      </c>
      <c r="C396" s="8">
        <v>3</v>
      </c>
      <c r="D396" s="94"/>
      <c r="E396" s="8"/>
      <c r="F396" s="71"/>
      <c r="G396" s="8" t="str">
        <f t="shared" si="100"/>
        <v/>
      </c>
      <c r="H396" s="8" t="str" cm="1">
        <f t="array" ref="H396">GetColorMatchValue(F396, $F$3:$F$10)</f>
        <v/>
      </c>
      <c r="I396" s="96" t="s">
        <v>287</v>
      </c>
      <c r="L396" s="45"/>
      <c r="N396" s="62"/>
      <c r="O396" s="62"/>
    </row>
    <row r="397" spans="1:15" ht="15" customHeight="1" x14ac:dyDescent="0.25">
      <c r="A397" s="8">
        <v>4</v>
      </c>
      <c r="B397" s="8">
        <v>3</v>
      </c>
      <c r="C397" s="8">
        <v>4</v>
      </c>
      <c r="D397" s="93" t="s">
        <v>83</v>
      </c>
      <c r="E397" s="8"/>
      <c r="F397" s="71"/>
      <c r="G397" s="8" t="str">
        <f t="shared" si="100"/>
        <v/>
      </c>
      <c r="H397" s="8" t="str" cm="1">
        <f t="array" ref="H397">GetColorMatchValue(F397, $F$3:$F$10)</f>
        <v/>
      </c>
      <c r="I397" s="99" t="str">
        <f>"&lt;tr&gt;&lt;th colspan=""3""&gt;&lt;label&gt;"&amp;D396&amp;"&lt;input type=""checkbox"" class=""section-toggle"" data-section="""&amp;A396&amp;B396&amp;C396&amp;"""/&gt;&lt;/label&gt;&lt;/th&gt;&lt;/tr&gt;"</f>
        <v>&lt;tr&gt;&lt;th colspan="3"&gt;&lt;label&gt;&lt;input type="checkbox" class="section-toggle" data-section="433"/&gt;&lt;/label&gt;&lt;/th&gt;&lt;/tr&gt;</v>
      </c>
      <c r="L397" s="45"/>
      <c r="N397" s="62"/>
      <c r="O397" s="62"/>
    </row>
    <row r="398" spans="1:15" ht="15" customHeight="1" x14ac:dyDescent="0.25">
      <c r="A398" s="8">
        <v>4</v>
      </c>
      <c r="B398" s="8">
        <v>3</v>
      </c>
      <c r="C398" s="8">
        <v>4</v>
      </c>
      <c r="D398" s="94" t="s">
        <v>200</v>
      </c>
      <c r="E398" s="7">
        <v>1</v>
      </c>
      <c r="F398" s="73">
        <f>$E$7*E398</f>
        <v>95</v>
      </c>
      <c r="G398" s="8">
        <f t="shared" si="100"/>
        <v>100</v>
      </c>
      <c r="H398" s="8" t="str" cm="1">
        <f t="array" ref="H398">GetColorMatchValue(F398, $F$3:$F$10)</f>
        <v>s</v>
      </c>
      <c r="I398" s="101" t="str">
        <f>"&lt;tr data-section="""&amp;A397&amp;B397&amp;C397&amp;"""&gt;&lt;td&gt;"&amp;D397&amp;"&lt;/td&gt;&lt;td&gt;"&amp;G397&amp;"%&lt;/td&gt;&lt;td&gt;${percent("&amp;H397&amp;", "&amp;G397&amp;")}kg&lt;/td&gt;&lt;/tr&gt;"</f>
        <v>&lt;tr data-section="434"&gt;&lt;td&gt;Snatch Pulls &lt;/td&gt;&lt;td&gt;%&lt;/td&gt;&lt;td&gt;${percent(, )}kg&lt;/td&gt;&lt;/tr&gt;</v>
      </c>
      <c r="L398" s="45"/>
      <c r="N398" s="62"/>
      <c r="O398" s="62"/>
    </row>
    <row r="399" spans="1:15" ht="15" customHeight="1" x14ac:dyDescent="0.25">
      <c r="A399" s="8">
        <v>4</v>
      </c>
      <c r="B399" s="8">
        <v>3</v>
      </c>
      <c r="C399" s="8">
        <v>4</v>
      </c>
      <c r="D399" s="94"/>
      <c r="E399" s="8"/>
      <c r="F399" s="71"/>
      <c r="G399" s="8" t="str">
        <f t="shared" si="100"/>
        <v/>
      </c>
      <c r="H399" s="8" t="str" cm="1">
        <f t="array" ref="H399">GetColorMatchValue(F399, $F$3:$F$10)</f>
        <v/>
      </c>
      <c r="I399" s="96" t="s">
        <v>287</v>
      </c>
      <c r="L399" s="45"/>
      <c r="N399" s="62"/>
      <c r="O399" s="62"/>
    </row>
    <row r="400" spans="1:15" ht="15" customHeight="1" x14ac:dyDescent="0.25">
      <c r="A400" s="8">
        <v>4</v>
      </c>
      <c r="B400" s="8">
        <v>3</v>
      </c>
      <c r="C400" s="8">
        <v>5</v>
      </c>
      <c r="D400" s="93" t="s">
        <v>47</v>
      </c>
      <c r="E400" s="8"/>
      <c r="F400" s="71"/>
      <c r="G400" s="8" t="str">
        <f t="shared" si="100"/>
        <v/>
      </c>
      <c r="H400" s="8" t="str" cm="1">
        <f t="array" ref="H400">GetColorMatchValue(F400, $F$3:$F$10)</f>
        <v/>
      </c>
      <c r="I400" s="99" t="str">
        <f>"&lt;tr&gt;&lt;th colspan=""3""&gt;&lt;label&gt;"&amp;D399&amp;"&lt;input type=""checkbox"" class=""section-toggle"" data-section="""&amp;A399&amp;B399&amp;C399&amp;"""/&gt;&lt;/label&gt;&lt;/th&gt;&lt;/tr&gt;"</f>
        <v>&lt;tr&gt;&lt;th colspan="3"&gt;&lt;label&gt;&lt;input type="checkbox" class="section-toggle" data-section="434"/&gt;&lt;/label&gt;&lt;/th&gt;&lt;/tr&gt;</v>
      </c>
      <c r="L400" s="45"/>
      <c r="N400" s="62"/>
      <c r="O400" s="62"/>
    </row>
    <row r="401" spans="1:15" ht="15" customHeight="1" x14ac:dyDescent="0.25">
      <c r="A401" s="95">
        <v>4</v>
      </c>
      <c r="B401" s="95">
        <v>3</v>
      </c>
      <c r="C401" s="8">
        <v>5</v>
      </c>
      <c r="D401" s="94" t="s">
        <v>202</v>
      </c>
      <c r="E401" s="94" t="s">
        <v>197</v>
      </c>
      <c r="F401" s="71"/>
      <c r="G401" s="8" t="str">
        <f t="shared" si="100"/>
        <v/>
      </c>
      <c r="H401" s="8" t="str" cm="1">
        <f t="array" ref="H401">GetColorMatchValue(F401, $F$3:$F$10)</f>
        <v/>
      </c>
      <c r="I401" s="104" t="str">
        <f>"&lt;tr data-section="""&amp;A400&amp;B400&amp;C400&amp;"""&gt;&lt;td colspan=""3""&gt;"&amp;D400&amp;" "&amp;E400&amp;"&lt;/td&gt;&lt;/tr&gt;"</f>
        <v>&lt;tr data-section="435"&gt;&lt;td colspan="3"&gt;Press &lt;/td&gt;&lt;/tr&gt;</v>
      </c>
      <c r="L401" s="45"/>
      <c r="N401" s="62"/>
      <c r="O401" s="62"/>
    </row>
    <row r="402" spans="1:15" ht="15" customHeight="1" x14ac:dyDescent="0.25">
      <c r="A402" s="8">
        <v>4</v>
      </c>
      <c r="B402" s="8">
        <v>3</v>
      </c>
      <c r="C402" s="8">
        <v>5</v>
      </c>
      <c r="D402" s="94"/>
      <c r="E402" s="8"/>
      <c r="F402" s="71"/>
      <c r="G402" s="8" t="str">
        <f t="shared" si="100"/>
        <v/>
      </c>
      <c r="H402" s="8" t="str" cm="1">
        <f t="array" ref="H402">GetColorMatchValue(F402, $F$3:$F$10)</f>
        <v/>
      </c>
      <c r="I402" s="96" t="s">
        <v>287</v>
      </c>
      <c r="L402" s="45"/>
      <c r="N402" s="62"/>
      <c r="O402" s="62"/>
    </row>
    <row r="403" spans="1:15" ht="15" customHeight="1" x14ac:dyDescent="0.25">
      <c r="A403" s="8">
        <v>4</v>
      </c>
      <c r="B403" s="8">
        <v>3</v>
      </c>
      <c r="C403" s="8">
        <v>6</v>
      </c>
      <c r="D403" s="93" t="s">
        <v>58</v>
      </c>
      <c r="E403" s="8"/>
      <c r="F403" s="71"/>
      <c r="G403" s="8" t="str">
        <f t="shared" si="100"/>
        <v/>
      </c>
      <c r="H403" s="8" t="str" cm="1">
        <f t="array" ref="H403">GetColorMatchValue(F403, $F$3:$F$10)</f>
        <v/>
      </c>
      <c r="I403" s="99" t="str">
        <f>"&lt;tr&gt;&lt;th colspan=""3""&gt;&lt;label&gt;"&amp;D402&amp;"&lt;input type=""checkbox"" class=""section-toggle"" data-section="""&amp;A402&amp;B402&amp;C402&amp;"""/&gt;&lt;/label&gt;&lt;/th&gt;&lt;/tr&gt;"</f>
        <v>&lt;tr&gt;&lt;th colspan="3"&gt;&lt;label&gt;&lt;input type="checkbox" class="section-toggle" data-section="435"/&gt;&lt;/label&gt;&lt;/th&gt;&lt;/tr&gt;</v>
      </c>
      <c r="L403" s="45"/>
      <c r="N403" s="62"/>
      <c r="O403" s="62"/>
    </row>
    <row r="404" spans="1:15" ht="15" customHeight="1" x14ac:dyDescent="0.25">
      <c r="A404" s="95">
        <v>4</v>
      </c>
      <c r="B404" s="95">
        <v>3</v>
      </c>
      <c r="C404" s="8">
        <v>6</v>
      </c>
      <c r="D404" s="94" t="s">
        <v>203</v>
      </c>
      <c r="E404" s="94" t="s">
        <v>197</v>
      </c>
      <c r="F404" s="71"/>
      <c r="G404" s="8" t="str">
        <f t="shared" si="100"/>
        <v/>
      </c>
      <c r="H404" s="8" t="str" cm="1">
        <f t="array" ref="H404">GetColorMatchValue(F404, $F$3:$F$10)</f>
        <v/>
      </c>
      <c r="I404" s="104" t="str">
        <f>"&lt;tr data-section="""&amp;A403&amp;B403&amp;C403&amp;"""&gt;&lt;td colspan=""3""&gt;"&amp;D403&amp;" "&amp;E403&amp;"&lt;/td&gt;&lt;/tr&gt;"</f>
        <v>&lt;tr data-section="436"&gt;&lt;td colspan="3"&gt;Good Mornings &lt;/td&gt;&lt;/tr&gt;</v>
      </c>
      <c r="L404" s="45"/>
      <c r="N404" s="62"/>
      <c r="O404" s="62"/>
    </row>
    <row r="405" spans="1:15" ht="15" customHeight="1" x14ac:dyDescent="0.25">
      <c r="A405" s="8">
        <v>4</v>
      </c>
      <c r="B405" s="8">
        <v>3</v>
      </c>
      <c r="C405" s="8">
        <v>6</v>
      </c>
      <c r="D405" s="94"/>
      <c r="E405" s="8"/>
      <c r="F405" s="71"/>
      <c r="G405" s="8" t="str">
        <f t="shared" si="100"/>
        <v/>
      </c>
      <c r="H405" s="8" t="str" cm="1">
        <f t="array" ref="H405">GetColorMatchValue(F405, $F$3:$F$10)</f>
        <v/>
      </c>
      <c r="I405" s="96" t="s">
        <v>287</v>
      </c>
      <c r="L405" s="45"/>
      <c r="N405" s="62"/>
      <c r="O405" s="62"/>
    </row>
    <row r="406" spans="1:15" ht="15" customHeight="1" x14ac:dyDescent="0.25">
      <c r="A406" s="8">
        <v>4</v>
      </c>
      <c r="B406" s="8">
        <v>3</v>
      </c>
      <c r="C406" s="8">
        <v>7</v>
      </c>
      <c r="D406" s="93" t="s">
        <v>27</v>
      </c>
      <c r="E406" s="8"/>
      <c r="F406" s="71"/>
      <c r="G406" s="8" t="str">
        <f t="shared" si="100"/>
        <v/>
      </c>
      <c r="H406" s="8" t="str" cm="1">
        <f t="array" ref="H406">GetColorMatchValue(F406, $F$3:$F$10)</f>
        <v/>
      </c>
      <c r="I406" s="99" t="str">
        <f>"&lt;tr&gt;&lt;th colspan=""3""&gt;&lt;label&gt;"&amp;D405&amp;"&lt;input type=""checkbox"" class=""section-toggle"" data-section="""&amp;A405&amp;B405&amp;C405&amp;"""/&gt;&lt;/label&gt;&lt;/th&gt;&lt;/tr&gt;"</f>
        <v>&lt;tr&gt;&lt;th colspan="3"&gt;&lt;label&gt;&lt;input type="checkbox" class="section-toggle" data-section="436"/&gt;&lt;/label&gt;&lt;/th&gt;&lt;/tr&gt;</v>
      </c>
      <c r="L406" s="45"/>
      <c r="N406" s="62"/>
      <c r="O406" s="62"/>
    </row>
    <row r="407" spans="1:15" ht="15" customHeight="1" x14ac:dyDescent="0.25">
      <c r="A407" s="95">
        <v>4</v>
      </c>
      <c r="B407" s="95">
        <v>3</v>
      </c>
      <c r="C407" s="8">
        <v>7</v>
      </c>
      <c r="D407" s="94" t="s">
        <v>199</v>
      </c>
      <c r="E407" s="8" t="s">
        <v>194</v>
      </c>
      <c r="F407" s="71"/>
      <c r="G407" s="8" t="str">
        <f t="shared" si="100"/>
        <v/>
      </c>
      <c r="H407" s="8" t="str" cm="1">
        <f t="array" ref="H407">GetColorMatchValue(F407, $F$3:$F$10)</f>
        <v/>
      </c>
      <c r="I407" s="104" t="str">
        <f>"&lt;tr data-section="""&amp;A406&amp;B406&amp;C406&amp;"""&gt;&lt;td colspan=""3""&gt;"&amp;D406&amp;" "&amp;E406&amp;"&lt;/td&gt;&lt;/tr&gt;"</f>
        <v>&lt;tr data-section="437"&gt;&lt;td colspan="3"&gt;Abdominals &lt;/td&gt;&lt;/tr&gt;</v>
      </c>
      <c r="L407" s="45"/>
      <c r="N407" s="62"/>
      <c r="O407" s="62"/>
    </row>
    <row r="408" spans="1:15" ht="15" customHeight="1" x14ac:dyDescent="0.25">
      <c r="A408" s="8">
        <v>4</v>
      </c>
      <c r="B408" s="8">
        <v>4</v>
      </c>
      <c r="C408" s="8">
        <v>1</v>
      </c>
      <c r="D408" s="93" t="s">
        <v>0</v>
      </c>
      <c r="E408" s="8"/>
      <c r="F408" s="71"/>
      <c r="G408" s="8" t="str">
        <f t="shared" si="100"/>
        <v/>
      </c>
      <c r="H408" s="8" t="str" cm="1">
        <f t="array" ref="H408">GetColorMatchValue(F408, $F$3:$F$10)</f>
        <v/>
      </c>
      <c r="I408" s="99" t="str">
        <f>"&lt;tr&gt;&lt;th colspan=""3""&gt;&lt;label&gt;"&amp;D407&amp;"&lt;input type=""checkbox"" class=""section-toggle"" data-section="""&amp;A407&amp;B407&amp;C407&amp;"""/&gt;&lt;/label&gt;&lt;/th&gt;&lt;/tr&gt;"</f>
        <v>&lt;tr&gt;&lt;th colspan="3"&gt;&lt;label&gt;3 Sets of 30 Reps&lt;input type="checkbox" class="section-toggle" data-section="437"/&gt;&lt;/label&gt;&lt;/th&gt;&lt;/tr&gt;</v>
      </c>
      <c r="K408" s="62"/>
      <c r="L408" s="62"/>
      <c r="N408" s="62"/>
      <c r="O408" s="62"/>
    </row>
    <row r="409" spans="1:15" ht="15" customHeight="1" x14ac:dyDescent="0.25">
      <c r="A409" s="8">
        <v>4</v>
      </c>
      <c r="B409" s="8">
        <v>4</v>
      </c>
      <c r="C409" s="8">
        <v>1</v>
      </c>
      <c r="D409" s="94" t="s">
        <v>220</v>
      </c>
      <c r="E409" s="7">
        <v>0.6</v>
      </c>
      <c r="F409" s="72">
        <f>$E$3*E409</f>
        <v>120</v>
      </c>
      <c r="G409" s="8">
        <f t="shared" si="100"/>
        <v>60</v>
      </c>
      <c r="H409" s="8" t="str" cm="1">
        <f t="array" ref="H409">GetColorMatchValue(F409, $F$3:$F$10)</f>
        <v>bs</v>
      </c>
      <c r="I409" s="101" t="str">
        <f t="shared" ref="I409:I412" si="107">"&lt;tr data-section="""&amp;A408&amp;B408&amp;C408&amp;"""&gt;&lt;td&gt;"&amp;D408&amp;"&lt;/td&gt;&lt;td&gt;"&amp;G408&amp;"%&lt;/td&gt;&lt;td&gt;${percent("&amp;H408&amp;", "&amp;G408&amp;")}kg&lt;/td&gt;&lt;/tr&gt;"</f>
        <v>&lt;tr data-section="441"&gt;&lt;td&gt;Back Squat&lt;/td&gt;&lt;td&gt;%&lt;/td&gt;&lt;td&gt;${percent(, )}kg&lt;/td&gt;&lt;/tr&gt;</v>
      </c>
      <c r="K409" s="62"/>
      <c r="L409" s="62"/>
      <c r="N409" s="62"/>
      <c r="O409" s="62"/>
    </row>
    <row r="410" spans="1:15" ht="15" customHeight="1" x14ac:dyDescent="0.25">
      <c r="A410" s="8">
        <v>4</v>
      </c>
      <c r="B410" s="8">
        <v>4</v>
      </c>
      <c r="C410" s="8">
        <v>1</v>
      </c>
      <c r="D410" s="94" t="s">
        <v>220</v>
      </c>
      <c r="E410" s="7">
        <v>0.7</v>
      </c>
      <c r="F410" s="72">
        <f>$E$3*E410</f>
        <v>140</v>
      </c>
      <c r="G410" s="8">
        <f t="shared" si="100"/>
        <v>70</v>
      </c>
      <c r="H410" s="8" t="str" cm="1">
        <f t="array" ref="H410">GetColorMatchValue(F410, $F$3:$F$10)</f>
        <v>bs</v>
      </c>
      <c r="I410" s="101" t="str">
        <f t="shared" si="107"/>
        <v>&lt;tr data-section="441"&gt;&lt;td&gt;1 Set of 4 Reps&lt;/td&gt;&lt;td&gt;60%&lt;/td&gt;&lt;td&gt;${percent(bs, 60)}kg&lt;/td&gt;&lt;/tr&gt;</v>
      </c>
      <c r="K410" s="62"/>
      <c r="L410" s="62"/>
      <c r="N410" s="62"/>
      <c r="O410" s="62"/>
    </row>
    <row r="411" spans="1:15" ht="15" customHeight="1" x14ac:dyDescent="0.25">
      <c r="A411" s="8">
        <v>4</v>
      </c>
      <c r="B411" s="8">
        <v>4</v>
      </c>
      <c r="C411" s="8">
        <v>1</v>
      </c>
      <c r="D411" s="94" t="s">
        <v>220</v>
      </c>
      <c r="E411" s="7">
        <v>0.8</v>
      </c>
      <c r="F411" s="72">
        <f>$E$3*E411</f>
        <v>160</v>
      </c>
      <c r="G411" s="8">
        <f t="shared" si="100"/>
        <v>80</v>
      </c>
      <c r="H411" s="8" t="str" cm="1">
        <f t="array" ref="H411">GetColorMatchValue(F411, $F$3:$F$10)</f>
        <v>bs</v>
      </c>
      <c r="I411" s="101" t="str">
        <f t="shared" si="107"/>
        <v>&lt;tr data-section="441"&gt;&lt;td&gt;1 Set of 4 Reps&lt;/td&gt;&lt;td&gt;70%&lt;/td&gt;&lt;td&gt;${percent(bs, 70)}kg&lt;/td&gt;&lt;/tr&gt;</v>
      </c>
      <c r="K411" s="62"/>
      <c r="L411" s="62"/>
      <c r="N411" s="62"/>
      <c r="O411" s="62"/>
    </row>
    <row r="412" spans="1:15" ht="15" customHeight="1" x14ac:dyDescent="0.25">
      <c r="A412" s="8">
        <v>4</v>
      </c>
      <c r="B412" s="8">
        <v>4</v>
      </c>
      <c r="C412" s="8">
        <v>1</v>
      </c>
      <c r="D412" s="94" t="s">
        <v>202</v>
      </c>
      <c r="E412" s="7">
        <v>0.85</v>
      </c>
      <c r="F412" s="72">
        <f t="shared" ref="F412" si="108">$E$3*E412</f>
        <v>170</v>
      </c>
      <c r="G412" s="8">
        <f t="shared" si="100"/>
        <v>85</v>
      </c>
      <c r="H412" s="8" t="str" cm="1">
        <f t="array" ref="H412">GetColorMatchValue(F412, $F$3:$F$10)</f>
        <v>bs</v>
      </c>
      <c r="I412" s="101" t="str">
        <f t="shared" si="107"/>
        <v>&lt;tr data-section="441"&gt;&lt;td&gt;1 Set of 4 Reps&lt;/td&gt;&lt;td&gt;80%&lt;/td&gt;&lt;td&gt;${percent(bs, 80)}kg&lt;/td&gt;&lt;/tr&gt;</v>
      </c>
      <c r="K412" s="62"/>
      <c r="L412" s="62"/>
      <c r="N412" s="62"/>
      <c r="O412" s="62"/>
    </row>
    <row r="413" spans="1:15" ht="15" customHeight="1" x14ac:dyDescent="0.25">
      <c r="A413" s="8">
        <v>4</v>
      </c>
      <c r="B413" s="8">
        <v>4</v>
      </c>
      <c r="C413" s="8">
        <v>1</v>
      </c>
      <c r="D413" s="94"/>
      <c r="E413" s="8"/>
      <c r="F413" s="71"/>
      <c r="G413" s="8" t="str">
        <f t="shared" si="100"/>
        <v/>
      </c>
      <c r="H413" s="8" t="str" cm="1">
        <f t="array" ref="H413">GetColorMatchValue(F413, $F$3:$F$10)</f>
        <v/>
      </c>
      <c r="I413" s="96" t="s">
        <v>287</v>
      </c>
      <c r="K413" s="62"/>
      <c r="L413" s="62"/>
      <c r="N413" s="62"/>
      <c r="O413" s="62"/>
    </row>
    <row r="414" spans="1:15" ht="15" customHeight="1" x14ac:dyDescent="0.25">
      <c r="A414" s="8">
        <v>4</v>
      </c>
      <c r="B414" s="8">
        <v>4</v>
      </c>
      <c r="C414" s="8">
        <v>2</v>
      </c>
      <c r="D414" s="93" t="s">
        <v>42</v>
      </c>
      <c r="E414" s="8"/>
      <c r="F414" s="71"/>
      <c r="G414" s="8" t="str">
        <f t="shared" si="100"/>
        <v/>
      </c>
      <c r="H414" s="8" t="str" cm="1">
        <f t="array" ref="H414">GetColorMatchValue(F414, $F$3:$F$10)</f>
        <v/>
      </c>
      <c r="I414" s="99" t="str">
        <f>"&lt;tr&gt;&lt;th colspan=""3""&gt;&lt;label&gt;"&amp;D413&amp;"&lt;input type=""checkbox"" class=""section-toggle"" data-section="""&amp;A413&amp;B413&amp;C413&amp;"""/&gt;&lt;/label&gt;&lt;/th&gt;&lt;/tr&gt;"</f>
        <v>&lt;tr&gt;&lt;th colspan="3"&gt;&lt;label&gt;&lt;input type="checkbox" class="section-toggle" data-section="441"/&gt;&lt;/label&gt;&lt;/th&gt;&lt;/tr&gt;</v>
      </c>
      <c r="K414" s="62"/>
      <c r="L414" s="62"/>
      <c r="N414" s="62"/>
      <c r="O414" s="62"/>
    </row>
    <row r="415" spans="1:15" ht="15" customHeight="1" x14ac:dyDescent="0.25">
      <c r="A415" s="8">
        <v>4</v>
      </c>
      <c r="B415" s="8">
        <v>4</v>
      </c>
      <c r="C415" s="8">
        <v>2</v>
      </c>
      <c r="D415" s="94" t="s">
        <v>236</v>
      </c>
      <c r="E415" s="7">
        <v>0.6</v>
      </c>
      <c r="F415" s="73">
        <f t="shared" ref="F415:F419" si="109">$E$7*E415</f>
        <v>57</v>
      </c>
      <c r="G415" s="8">
        <f t="shared" si="100"/>
        <v>60</v>
      </c>
      <c r="H415" s="8" t="str" cm="1">
        <f t="array" ref="H415">GetColorMatchValue(F415, $F$3:$F$10)</f>
        <v>s</v>
      </c>
      <c r="I415" s="101" t="str">
        <f t="shared" ref="I415:I419" si="110">"&lt;tr data-section="""&amp;A414&amp;B414&amp;C414&amp;"""&gt;&lt;td&gt;"&amp;D414&amp;"&lt;/td&gt;&lt;td&gt;"&amp;G414&amp;"%&lt;/td&gt;&lt;td&gt;${percent("&amp;H414&amp;", "&amp;G414&amp;")}kg&lt;/td&gt;&lt;/tr&gt;"</f>
        <v>&lt;tr data-section="442"&gt;&lt;td&gt;Snatch&lt;/td&gt;&lt;td&gt;%&lt;/td&gt;&lt;td&gt;${percent(, )}kg&lt;/td&gt;&lt;/tr&gt;</v>
      </c>
      <c r="K415" s="62"/>
      <c r="L415" s="62"/>
      <c r="N415" s="62"/>
      <c r="O415" s="62"/>
    </row>
    <row r="416" spans="1:15" ht="15" customHeight="1" x14ac:dyDescent="0.25">
      <c r="A416" s="8">
        <v>4</v>
      </c>
      <c r="B416" s="8">
        <v>4</v>
      </c>
      <c r="C416" s="8">
        <v>2</v>
      </c>
      <c r="D416" s="94" t="s">
        <v>236</v>
      </c>
      <c r="E416" s="7">
        <v>0.7</v>
      </c>
      <c r="F416" s="73">
        <f t="shared" si="109"/>
        <v>66.5</v>
      </c>
      <c r="G416" s="8">
        <f t="shared" si="100"/>
        <v>70</v>
      </c>
      <c r="H416" s="8" t="str" cm="1">
        <f t="array" ref="H416">GetColorMatchValue(F416, $F$3:$F$10)</f>
        <v>s</v>
      </c>
      <c r="I416" s="101" t="str">
        <f t="shared" si="110"/>
        <v>&lt;tr data-section="442"&gt;&lt;td&gt;1 Set of 2 Reps&lt;/td&gt;&lt;td&gt;60%&lt;/td&gt;&lt;td&gt;${percent(s, 60)}kg&lt;/td&gt;&lt;/tr&gt;</v>
      </c>
      <c r="K416" s="62"/>
      <c r="L416" s="62"/>
      <c r="N416" s="62"/>
      <c r="O416" s="62"/>
    </row>
    <row r="417" spans="1:15" ht="15" customHeight="1" x14ac:dyDescent="0.25">
      <c r="A417" s="8">
        <v>4</v>
      </c>
      <c r="B417" s="8">
        <v>4</v>
      </c>
      <c r="C417" s="8">
        <v>2</v>
      </c>
      <c r="D417" s="94" t="s">
        <v>236</v>
      </c>
      <c r="E417" s="7">
        <v>0.8</v>
      </c>
      <c r="F417" s="73">
        <f t="shared" si="109"/>
        <v>76</v>
      </c>
      <c r="G417" s="8">
        <f t="shared" si="100"/>
        <v>80</v>
      </c>
      <c r="H417" s="8" t="str" cm="1">
        <f t="array" ref="H417">GetColorMatchValue(F417, $F$3:$F$10)</f>
        <v>s</v>
      </c>
      <c r="I417" s="101" t="str">
        <f t="shared" si="110"/>
        <v>&lt;tr data-section="442"&gt;&lt;td&gt;1 Set of 2 Reps&lt;/td&gt;&lt;td&gt;70%&lt;/td&gt;&lt;td&gt;${percent(s, 70)}kg&lt;/td&gt;&lt;/tr&gt;</v>
      </c>
      <c r="K417" s="62"/>
      <c r="L417" s="62"/>
      <c r="N417" s="62"/>
      <c r="O417" s="62"/>
    </row>
    <row r="418" spans="1:15" ht="15" customHeight="1" x14ac:dyDescent="0.25">
      <c r="A418" s="8">
        <v>4</v>
      </c>
      <c r="B418" s="8">
        <v>4</v>
      </c>
      <c r="C418" s="8">
        <v>2</v>
      </c>
      <c r="D418" s="94" t="s">
        <v>212</v>
      </c>
      <c r="E418" s="7">
        <v>0.85</v>
      </c>
      <c r="F418" s="73">
        <f t="shared" si="109"/>
        <v>80.75</v>
      </c>
      <c r="G418" s="8">
        <f t="shared" si="100"/>
        <v>85</v>
      </c>
      <c r="H418" s="8" t="str" cm="1">
        <f t="array" ref="H418">GetColorMatchValue(F418, $F$3:$F$10)</f>
        <v>s</v>
      </c>
      <c r="I418" s="101" t="str">
        <f t="shared" si="110"/>
        <v>&lt;tr data-section="442"&gt;&lt;td&gt;1 Set of 2 Reps&lt;/td&gt;&lt;td&gt;80%&lt;/td&gt;&lt;td&gt;${percent(s, 80)}kg&lt;/td&gt;&lt;/tr&gt;</v>
      </c>
      <c r="K418" s="62"/>
      <c r="L418" s="62"/>
      <c r="N418" s="62"/>
      <c r="O418" s="62"/>
    </row>
    <row r="419" spans="1:15" ht="15" customHeight="1" x14ac:dyDescent="0.25">
      <c r="A419" s="8">
        <v>4</v>
      </c>
      <c r="B419" s="8">
        <v>4</v>
      </c>
      <c r="C419" s="8">
        <v>2</v>
      </c>
      <c r="D419" s="94" t="s">
        <v>212</v>
      </c>
      <c r="E419" s="7">
        <v>0.9</v>
      </c>
      <c r="F419" s="73">
        <f t="shared" si="109"/>
        <v>85.5</v>
      </c>
      <c r="G419" s="8">
        <f t="shared" si="100"/>
        <v>90</v>
      </c>
      <c r="H419" s="8" t="str" cm="1">
        <f t="array" ref="H419">GetColorMatchValue(F419, $F$3:$F$10)</f>
        <v>s</v>
      </c>
      <c r="I419" s="101" t="str">
        <f t="shared" si="110"/>
        <v>&lt;tr data-section="442"&gt;&lt;td&gt;1 Set of 1 Rep&lt;/td&gt;&lt;td&gt;85%&lt;/td&gt;&lt;td&gt;${percent(s, 85)}kg&lt;/td&gt;&lt;/tr&gt;</v>
      </c>
      <c r="K419" s="62"/>
      <c r="L419" s="62"/>
      <c r="N419" s="62"/>
      <c r="O419" s="62"/>
    </row>
    <row r="420" spans="1:15" ht="15" customHeight="1" x14ac:dyDescent="0.25">
      <c r="A420" s="8">
        <v>4</v>
      </c>
      <c r="B420" s="8">
        <v>4</v>
      </c>
      <c r="C420" s="8">
        <v>2</v>
      </c>
      <c r="D420" s="94"/>
      <c r="E420" s="8"/>
      <c r="F420" s="71"/>
      <c r="G420" s="8" t="str">
        <f t="shared" si="100"/>
        <v/>
      </c>
      <c r="H420" s="8" t="str" cm="1">
        <f t="array" ref="H420">GetColorMatchValue(F420, $F$3:$F$10)</f>
        <v/>
      </c>
      <c r="I420" s="96" t="s">
        <v>287</v>
      </c>
      <c r="K420" s="62"/>
      <c r="L420" s="62"/>
      <c r="N420" s="62"/>
      <c r="O420" s="62"/>
    </row>
    <row r="421" spans="1:15" ht="15" customHeight="1" x14ac:dyDescent="0.25">
      <c r="A421" s="8">
        <v>4</v>
      </c>
      <c r="B421" s="8">
        <v>4</v>
      </c>
      <c r="C421" s="8">
        <v>3</v>
      </c>
      <c r="D421" s="93" t="s">
        <v>43</v>
      </c>
      <c r="E421" s="8"/>
      <c r="F421" s="71"/>
      <c r="G421" s="8" t="str">
        <f t="shared" si="100"/>
        <v/>
      </c>
      <c r="H421" s="8" t="str" cm="1">
        <f t="array" ref="H421">GetColorMatchValue(F421, $F$3:$F$10)</f>
        <v/>
      </c>
      <c r="I421" s="99" t="str">
        <f>"&lt;tr&gt;&lt;th colspan=""3""&gt;&lt;label&gt;"&amp;D420&amp;"&lt;input type=""checkbox"" class=""section-toggle"" data-section="""&amp;A420&amp;B420&amp;C420&amp;"""/&gt;&lt;/label&gt;&lt;/th&gt;&lt;/tr&gt;"</f>
        <v>&lt;tr&gt;&lt;th colspan="3"&gt;&lt;label&gt;&lt;input type="checkbox" class="section-toggle" data-section="442"/&gt;&lt;/label&gt;&lt;/th&gt;&lt;/tr&gt;</v>
      </c>
      <c r="K421" s="62"/>
      <c r="L421" s="62"/>
      <c r="N421" s="62"/>
      <c r="O421" s="62"/>
    </row>
    <row r="422" spans="1:15" ht="15" customHeight="1" x14ac:dyDescent="0.25">
      <c r="A422" s="8">
        <v>4</v>
      </c>
      <c r="B422" s="8">
        <v>4</v>
      </c>
      <c r="C422" s="8">
        <v>3</v>
      </c>
      <c r="D422" s="94" t="s">
        <v>279</v>
      </c>
      <c r="E422" s="7">
        <v>0.6</v>
      </c>
      <c r="F422" s="77">
        <f t="shared" ref="F422:F426" si="111">$E$8*E422</f>
        <v>69</v>
      </c>
      <c r="G422" s="8">
        <f t="shared" si="100"/>
        <v>60</v>
      </c>
      <c r="H422" s="8" t="str" cm="1">
        <f t="array" ref="H422">GetColorMatchValue(F422, $F$3:$F$10)</f>
        <v>cj</v>
      </c>
      <c r="I422" s="101" t="str">
        <f t="shared" ref="I422:I426" si="112">"&lt;tr data-section="""&amp;A421&amp;B421&amp;C421&amp;"""&gt;&lt;td&gt;"&amp;D421&amp;"&lt;/td&gt;&lt;td&gt;"&amp;G421&amp;"%&lt;/td&gt;&lt;td&gt;${percent("&amp;H421&amp;", "&amp;G421&amp;")}kg&lt;/td&gt;&lt;/tr&gt;"</f>
        <v>&lt;tr data-section="443"&gt;&lt;td&gt;Clean + Jerk&lt;/td&gt;&lt;td&gt;%&lt;/td&gt;&lt;td&gt;${percent(, )}kg&lt;/td&gt;&lt;/tr&gt;</v>
      </c>
      <c r="K422" s="62"/>
      <c r="L422" s="62"/>
      <c r="N422" s="62"/>
      <c r="O422" s="62"/>
    </row>
    <row r="423" spans="1:15" ht="15" customHeight="1" x14ac:dyDescent="0.25">
      <c r="A423" s="8">
        <v>4</v>
      </c>
      <c r="B423" s="8">
        <v>4</v>
      </c>
      <c r="C423" s="8">
        <v>3</v>
      </c>
      <c r="D423" s="94" t="s">
        <v>279</v>
      </c>
      <c r="E423" s="7">
        <v>0.7</v>
      </c>
      <c r="F423" s="77">
        <f t="shared" si="111"/>
        <v>80.5</v>
      </c>
      <c r="G423" s="8">
        <f t="shared" si="100"/>
        <v>70</v>
      </c>
      <c r="H423" s="8" t="str" cm="1">
        <f t="array" ref="H423">GetColorMatchValue(F423, $F$3:$F$10)</f>
        <v>cj</v>
      </c>
      <c r="I423" s="101" t="str">
        <f t="shared" si="112"/>
        <v>&lt;tr data-section="443"&gt;&lt;td&gt;1 Set of 2 Cl. +1 Jr.&lt;/td&gt;&lt;td&gt;60%&lt;/td&gt;&lt;td&gt;${percent(cj, 60)}kg&lt;/td&gt;&lt;/tr&gt;</v>
      </c>
      <c r="K423" s="62"/>
      <c r="L423" s="62"/>
      <c r="N423" s="62"/>
      <c r="O423" s="62"/>
    </row>
    <row r="424" spans="1:15" ht="15" customHeight="1" x14ac:dyDescent="0.25">
      <c r="A424" s="8">
        <v>4</v>
      </c>
      <c r="B424" s="8">
        <v>4</v>
      </c>
      <c r="C424" s="8">
        <v>3</v>
      </c>
      <c r="D424" s="94" t="s">
        <v>279</v>
      </c>
      <c r="E424" s="7">
        <v>0.8</v>
      </c>
      <c r="F424" s="77">
        <f t="shared" si="111"/>
        <v>92</v>
      </c>
      <c r="G424" s="8">
        <f t="shared" si="100"/>
        <v>80</v>
      </c>
      <c r="H424" s="8" t="str" cm="1">
        <f t="array" ref="H424">GetColorMatchValue(F424, $F$3:$F$10)</f>
        <v>cj</v>
      </c>
      <c r="I424" s="101" t="str">
        <f t="shared" si="112"/>
        <v>&lt;tr data-section="443"&gt;&lt;td&gt;1 Set of 2 Cl. +1 Jr.&lt;/td&gt;&lt;td&gt;70%&lt;/td&gt;&lt;td&gt;${percent(cj, 70)}kg&lt;/td&gt;&lt;/tr&gt;</v>
      </c>
      <c r="K424" s="62"/>
      <c r="L424" s="62"/>
      <c r="N424" s="62"/>
      <c r="O424" s="62"/>
    </row>
    <row r="425" spans="1:15" ht="15" customHeight="1" x14ac:dyDescent="0.25">
      <c r="A425" s="8">
        <v>4</v>
      </c>
      <c r="B425" s="8">
        <v>4</v>
      </c>
      <c r="C425" s="8">
        <v>3</v>
      </c>
      <c r="D425" s="94" t="s">
        <v>280</v>
      </c>
      <c r="E425" s="7">
        <v>0.85</v>
      </c>
      <c r="F425" s="77">
        <f t="shared" si="111"/>
        <v>97.75</v>
      </c>
      <c r="G425" s="8">
        <f t="shared" si="100"/>
        <v>85</v>
      </c>
      <c r="H425" s="8" t="str" cm="1">
        <f t="array" ref="H425">GetColorMatchValue(F425, $F$3:$F$10)</f>
        <v>cj</v>
      </c>
      <c r="I425" s="101" t="str">
        <f t="shared" si="112"/>
        <v>&lt;tr data-section="443"&gt;&lt;td&gt;1 Set of 2 Cl. +1 Jr.&lt;/td&gt;&lt;td&gt;80%&lt;/td&gt;&lt;td&gt;${percent(cj, 80)}kg&lt;/td&gt;&lt;/tr&gt;</v>
      </c>
      <c r="K425" s="62"/>
      <c r="L425" s="62"/>
      <c r="N425" s="62"/>
      <c r="O425" s="62"/>
    </row>
    <row r="426" spans="1:15" ht="15" customHeight="1" x14ac:dyDescent="0.25">
      <c r="A426" s="8">
        <v>4</v>
      </c>
      <c r="B426" s="8">
        <v>4</v>
      </c>
      <c r="C426" s="8">
        <v>3</v>
      </c>
      <c r="D426" s="94" t="s">
        <v>280</v>
      </c>
      <c r="E426" s="7">
        <v>0.9</v>
      </c>
      <c r="F426" s="77">
        <f t="shared" si="111"/>
        <v>103.5</v>
      </c>
      <c r="G426" s="8">
        <f t="shared" si="100"/>
        <v>90</v>
      </c>
      <c r="H426" s="8" t="str" cm="1">
        <f t="array" ref="H426">GetColorMatchValue(F426, $F$3:$F$10)</f>
        <v>cj</v>
      </c>
      <c r="I426" s="101" t="str">
        <f t="shared" si="112"/>
        <v>&lt;tr data-section="443"&gt;&lt;td&gt;1 Set of 1 Cl. +1 Jr.&lt;/td&gt;&lt;td&gt;85%&lt;/td&gt;&lt;td&gt;${percent(cj, 85)}kg&lt;/td&gt;&lt;/tr&gt;</v>
      </c>
      <c r="K426" s="62"/>
      <c r="L426" s="62"/>
      <c r="N426" s="62"/>
      <c r="O426" s="62"/>
    </row>
    <row r="427" spans="1:15" ht="15" customHeight="1" x14ac:dyDescent="0.25">
      <c r="A427" s="8">
        <v>4</v>
      </c>
      <c r="B427" s="8">
        <v>4</v>
      </c>
      <c r="C427" s="8">
        <v>3</v>
      </c>
      <c r="D427" s="94"/>
      <c r="E427" s="8"/>
      <c r="F427" s="71"/>
      <c r="G427" s="8" t="str">
        <f t="shared" si="100"/>
        <v/>
      </c>
      <c r="H427" s="8" t="str" cm="1">
        <f t="array" ref="H427">GetColorMatchValue(F427, $F$3:$F$10)</f>
        <v/>
      </c>
      <c r="I427" s="96" t="s">
        <v>287</v>
      </c>
      <c r="K427" s="62"/>
      <c r="L427" s="62"/>
      <c r="N427" s="62"/>
      <c r="O427" s="62"/>
    </row>
    <row r="428" spans="1:15" ht="15" customHeight="1" x14ac:dyDescent="0.25">
      <c r="A428" s="8">
        <v>4</v>
      </c>
      <c r="B428" s="8">
        <v>4</v>
      </c>
      <c r="C428" s="8">
        <v>4</v>
      </c>
      <c r="D428" s="93" t="s">
        <v>23</v>
      </c>
      <c r="E428" s="8"/>
      <c r="F428" s="71"/>
      <c r="G428" s="8" t="str">
        <f t="shared" si="100"/>
        <v/>
      </c>
      <c r="H428" s="8" t="str" cm="1">
        <f t="array" ref="H428">GetColorMatchValue(F428, $F$3:$F$10)</f>
        <v/>
      </c>
      <c r="I428" s="99" t="str">
        <f>"&lt;tr&gt;&lt;th colspan=""3""&gt;&lt;label&gt;"&amp;D427&amp;"&lt;input type=""checkbox"" class=""section-toggle"" data-section="""&amp;A427&amp;B427&amp;C427&amp;"""/&gt;&lt;/label&gt;&lt;/th&gt;&lt;/tr&gt;"</f>
        <v>&lt;tr&gt;&lt;th colspan="3"&gt;&lt;label&gt;&lt;input type="checkbox" class="section-toggle" data-section="443"/&gt;&lt;/label&gt;&lt;/th&gt;&lt;/tr&gt;</v>
      </c>
      <c r="K428" s="62"/>
      <c r="L428" s="62"/>
      <c r="N428" s="62"/>
      <c r="O428" s="62"/>
    </row>
    <row r="429" spans="1:15" ht="15" customHeight="1" x14ac:dyDescent="0.25">
      <c r="A429" s="8">
        <v>4</v>
      </c>
      <c r="B429" s="8">
        <v>4</v>
      </c>
      <c r="C429" s="8">
        <v>4</v>
      </c>
      <c r="D429" s="94" t="s">
        <v>220</v>
      </c>
      <c r="E429" s="7">
        <v>0.6</v>
      </c>
      <c r="F429" s="76">
        <f t="shared" ref="F429:F433" si="113">$E$10*E429</f>
        <v>48</v>
      </c>
      <c r="G429" s="8">
        <f t="shared" si="100"/>
        <v>60</v>
      </c>
      <c r="H429" s="8" t="str" cm="1">
        <f t="array" ref="H429">GetColorMatchValue(F429, $F$3:$F$10)</f>
        <v>pp</v>
      </c>
      <c r="I429" s="101" t="str">
        <f t="shared" ref="I429:I433" si="114">"&lt;tr data-section="""&amp;A428&amp;B428&amp;C428&amp;"""&gt;&lt;td&gt;"&amp;D428&amp;"&lt;/td&gt;&lt;td&gt;"&amp;G428&amp;"%&lt;/td&gt;&lt;td&gt;${percent("&amp;H428&amp;", "&amp;G428&amp;")}kg&lt;/td&gt;&lt;/tr&gt;"</f>
        <v>&lt;tr data-section="444"&gt;&lt;td&gt;Push Press&lt;/td&gt;&lt;td&gt;%&lt;/td&gt;&lt;td&gt;${percent(, )}kg&lt;/td&gt;&lt;/tr&gt;</v>
      </c>
      <c r="L429" s="45"/>
      <c r="O429" s="45"/>
    </row>
    <row r="430" spans="1:15" s="13" customFormat="1" ht="15" customHeight="1" x14ac:dyDescent="0.25">
      <c r="A430" s="8">
        <v>4</v>
      </c>
      <c r="B430" s="8">
        <v>4</v>
      </c>
      <c r="C430" s="8">
        <v>4</v>
      </c>
      <c r="D430" s="94" t="s">
        <v>220</v>
      </c>
      <c r="E430" s="7">
        <v>0.65</v>
      </c>
      <c r="F430" s="76">
        <f t="shared" si="113"/>
        <v>52</v>
      </c>
      <c r="G430" s="8">
        <f t="shared" si="100"/>
        <v>65</v>
      </c>
      <c r="H430" s="8" t="str" cm="1">
        <f t="array" ref="H430">GetColorMatchValue(F430, $F$3:$F$10)</f>
        <v>pp</v>
      </c>
      <c r="I430" s="101" t="str">
        <f t="shared" si="114"/>
        <v>&lt;tr data-section="444"&gt;&lt;td&gt;1 Set of 4 Reps&lt;/td&gt;&lt;td&gt;60%&lt;/td&gt;&lt;td&gt;${percent(pp, 60)}kg&lt;/td&gt;&lt;/tr&gt;</v>
      </c>
    </row>
    <row r="431" spans="1:15" ht="15" customHeight="1" x14ac:dyDescent="0.25">
      <c r="A431" s="8">
        <v>4</v>
      </c>
      <c r="B431" s="8">
        <v>4</v>
      </c>
      <c r="C431" s="8">
        <v>4</v>
      </c>
      <c r="D431" s="94" t="s">
        <v>220</v>
      </c>
      <c r="E431" s="7">
        <v>0.7</v>
      </c>
      <c r="F431" s="76">
        <f t="shared" si="113"/>
        <v>56</v>
      </c>
      <c r="G431" s="8">
        <f t="shared" si="100"/>
        <v>70</v>
      </c>
      <c r="H431" s="8" t="str" cm="1">
        <f t="array" ref="H431">GetColorMatchValue(F431, $F$3:$F$10)</f>
        <v>pp</v>
      </c>
      <c r="I431" s="101" t="str">
        <f t="shared" si="114"/>
        <v>&lt;tr data-section="444"&gt;&lt;td&gt;1 Set of 4 Reps&lt;/td&gt;&lt;td&gt;65%&lt;/td&gt;&lt;td&gt;${percent(pp, 65)}kg&lt;/td&gt;&lt;/tr&gt;</v>
      </c>
    </row>
    <row r="432" spans="1:15" ht="15" customHeight="1" x14ac:dyDescent="0.25">
      <c r="A432" s="8">
        <v>4</v>
      </c>
      <c r="B432" s="8">
        <v>4</v>
      </c>
      <c r="C432" s="8">
        <v>4</v>
      </c>
      <c r="D432" s="94" t="s">
        <v>220</v>
      </c>
      <c r="E432" s="7">
        <v>0.6</v>
      </c>
      <c r="F432" s="76">
        <f t="shared" si="113"/>
        <v>48</v>
      </c>
      <c r="G432" s="8">
        <f t="shared" si="100"/>
        <v>60</v>
      </c>
      <c r="H432" s="8" t="str" cm="1">
        <f t="array" ref="H432">GetColorMatchValue(F432, $F$3:$F$10)</f>
        <v>pp</v>
      </c>
      <c r="I432" s="101" t="str">
        <f t="shared" si="114"/>
        <v>&lt;tr data-section="444"&gt;&lt;td&gt;1 Set of 4 Reps&lt;/td&gt;&lt;td&gt;70%&lt;/td&gt;&lt;td&gt;${percent(pp, 70)}kg&lt;/td&gt;&lt;/tr&gt;</v>
      </c>
    </row>
    <row r="433" spans="1:15" ht="15" customHeight="1" x14ac:dyDescent="0.25">
      <c r="A433" s="8">
        <v>4</v>
      </c>
      <c r="B433" s="8">
        <v>4</v>
      </c>
      <c r="C433" s="8">
        <v>4</v>
      </c>
      <c r="D433" s="94" t="s">
        <v>213</v>
      </c>
      <c r="E433" s="7">
        <v>0.65</v>
      </c>
      <c r="F433" s="76">
        <f t="shared" si="113"/>
        <v>52</v>
      </c>
      <c r="G433" s="8">
        <f t="shared" si="100"/>
        <v>65</v>
      </c>
      <c r="H433" s="8" t="str" cm="1">
        <f t="array" ref="H433">GetColorMatchValue(F433, $F$3:$F$10)</f>
        <v>pp</v>
      </c>
      <c r="I433" s="101" t="str">
        <f t="shared" si="114"/>
        <v>&lt;tr data-section="444"&gt;&lt;td&gt;1 Set of 4 Reps&lt;/td&gt;&lt;td&gt;60%&lt;/td&gt;&lt;td&gt;${percent(pp, 60)}kg&lt;/td&gt;&lt;/tr&gt;</v>
      </c>
    </row>
    <row r="434" spans="1:15" ht="15" customHeight="1" x14ac:dyDescent="0.25">
      <c r="A434" s="8">
        <v>4</v>
      </c>
      <c r="B434" s="8">
        <v>4</v>
      </c>
      <c r="C434" s="8">
        <v>4</v>
      </c>
      <c r="D434" s="94"/>
      <c r="E434" s="8"/>
      <c r="F434" s="71"/>
      <c r="G434" s="8" t="str">
        <f t="shared" ref="G434:G493" si="115">IF(ISNUMBER(E434), E434 * 100, "")</f>
        <v/>
      </c>
      <c r="H434" s="8" t="str" cm="1">
        <f t="array" ref="H434">GetColorMatchValue(F434, $F$3:$F$10)</f>
        <v/>
      </c>
      <c r="I434" s="96" t="s">
        <v>287</v>
      </c>
    </row>
    <row r="435" spans="1:15" ht="15" customHeight="1" x14ac:dyDescent="0.25">
      <c r="A435" s="8">
        <v>4</v>
      </c>
      <c r="B435" s="8">
        <v>4</v>
      </c>
      <c r="C435" s="8">
        <v>5</v>
      </c>
      <c r="D435" s="93" t="s">
        <v>83</v>
      </c>
      <c r="E435" s="8"/>
      <c r="F435" s="71"/>
      <c r="G435" s="8" t="str">
        <f t="shared" si="115"/>
        <v/>
      </c>
      <c r="H435" s="8" t="str" cm="1">
        <f t="array" ref="H435">GetColorMatchValue(F435, $F$3:$F$10)</f>
        <v/>
      </c>
      <c r="I435" s="99" t="str">
        <f>"&lt;tr&gt;&lt;th colspan=""3""&gt;&lt;label&gt;"&amp;D434&amp;"&lt;input type=""checkbox"" class=""section-toggle"" data-section="""&amp;A434&amp;B434&amp;C434&amp;"""/&gt;&lt;/label&gt;&lt;/th&gt;&lt;/tr&gt;"</f>
        <v>&lt;tr&gt;&lt;th colspan="3"&gt;&lt;label&gt;&lt;input type="checkbox" class="section-toggle" data-section="444"/&gt;&lt;/label&gt;&lt;/th&gt;&lt;/tr&gt;</v>
      </c>
    </row>
    <row r="436" spans="1:15" ht="15" customHeight="1" x14ac:dyDescent="0.25">
      <c r="A436" s="8">
        <v>4</v>
      </c>
      <c r="B436" s="8">
        <v>4</v>
      </c>
      <c r="C436" s="8">
        <v>5</v>
      </c>
      <c r="D436" s="94" t="s">
        <v>220</v>
      </c>
      <c r="E436" s="7">
        <v>0.9</v>
      </c>
      <c r="F436" s="73">
        <f t="shared" ref="F436:F443" si="116">$E$7*E436</f>
        <v>85.5</v>
      </c>
      <c r="G436" s="8">
        <f t="shared" si="115"/>
        <v>90</v>
      </c>
      <c r="H436" s="8" t="str" cm="1">
        <f t="array" ref="H436">GetColorMatchValue(F436, $F$3:$F$10)</f>
        <v>s</v>
      </c>
      <c r="I436" s="101" t="str">
        <f t="shared" ref="I436:I443" si="117">"&lt;tr data-section="""&amp;A435&amp;B435&amp;C435&amp;"""&gt;&lt;td&gt;"&amp;D435&amp;"&lt;/td&gt;&lt;td&gt;"&amp;G435&amp;"%&lt;/td&gt;&lt;td&gt;${percent("&amp;H435&amp;", "&amp;G435&amp;")}kg&lt;/td&gt;&lt;/tr&gt;"</f>
        <v>&lt;tr data-section="445"&gt;&lt;td&gt;Snatch Pulls &lt;/td&gt;&lt;td&gt;%&lt;/td&gt;&lt;td&gt;${percent(, )}kg&lt;/td&gt;&lt;/tr&gt;</v>
      </c>
    </row>
    <row r="437" spans="1:15" ht="15" customHeight="1" x14ac:dyDescent="0.25">
      <c r="A437" s="8">
        <v>4</v>
      </c>
      <c r="B437" s="8">
        <v>4</v>
      </c>
      <c r="C437" s="8">
        <v>5</v>
      </c>
      <c r="D437" s="94" t="s">
        <v>213</v>
      </c>
      <c r="E437" s="7">
        <v>1</v>
      </c>
      <c r="F437" s="73">
        <f t="shared" si="116"/>
        <v>95</v>
      </c>
      <c r="G437" s="8">
        <f t="shared" si="115"/>
        <v>100</v>
      </c>
      <c r="H437" s="8" t="str" cm="1">
        <f t="array" ref="H437">GetColorMatchValue(F437, $F$3:$F$10)</f>
        <v>s</v>
      </c>
      <c r="I437" s="101" t="str">
        <f t="shared" si="117"/>
        <v>&lt;tr data-section="445"&gt;&lt;td&gt;1 Set of 4 Reps&lt;/td&gt;&lt;td&gt;90%&lt;/td&gt;&lt;td&gt;${percent(s, 90)}kg&lt;/td&gt;&lt;/tr&gt;</v>
      </c>
    </row>
    <row r="438" spans="1:15" ht="15" customHeight="1" x14ac:dyDescent="0.25">
      <c r="A438" s="8">
        <v>4</v>
      </c>
      <c r="B438" s="8">
        <v>4</v>
      </c>
      <c r="C438" s="8">
        <v>5</v>
      </c>
      <c r="D438" s="94" t="s">
        <v>220</v>
      </c>
      <c r="E438" s="7">
        <v>0.9</v>
      </c>
      <c r="F438" s="73">
        <f t="shared" si="116"/>
        <v>85.5</v>
      </c>
      <c r="G438" s="8">
        <f t="shared" si="115"/>
        <v>90</v>
      </c>
      <c r="H438" s="8" t="str" cm="1">
        <f t="array" ref="H438">GetColorMatchValue(F438, $F$3:$F$10)</f>
        <v>s</v>
      </c>
      <c r="I438" s="101" t="str">
        <f t="shared" si="117"/>
        <v>&lt;tr data-section="445"&gt;&lt;td&gt;1 Set of 3 Reps&lt;/td&gt;&lt;td&gt;100%&lt;/td&gt;&lt;td&gt;${percent(s, 100)}kg&lt;/td&gt;&lt;/tr&gt;</v>
      </c>
    </row>
    <row r="439" spans="1:15" ht="15" customHeight="1" x14ac:dyDescent="0.25">
      <c r="A439" s="8">
        <v>4</v>
      </c>
      <c r="B439" s="8">
        <v>4</v>
      </c>
      <c r="C439" s="8">
        <v>5</v>
      </c>
      <c r="D439" s="94" t="s">
        <v>213</v>
      </c>
      <c r="E439" s="7">
        <v>1</v>
      </c>
      <c r="F439" s="73">
        <f t="shared" si="116"/>
        <v>95</v>
      </c>
      <c r="G439" s="8">
        <f t="shared" si="115"/>
        <v>100</v>
      </c>
      <c r="H439" s="8" t="str" cm="1">
        <f t="array" ref="H439">GetColorMatchValue(F439, $F$3:$F$10)</f>
        <v>s</v>
      </c>
      <c r="I439" s="101" t="str">
        <f t="shared" si="117"/>
        <v>&lt;tr data-section="445"&gt;&lt;td&gt;1 Set of 4 Reps&lt;/td&gt;&lt;td&gt;90%&lt;/td&gt;&lt;td&gt;${percent(s, 90)}kg&lt;/td&gt;&lt;/tr&gt;</v>
      </c>
    </row>
    <row r="440" spans="1:15" ht="15" customHeight="1" x14ac:dyDescent="0.25">
      <c r="A440" s="8">
        <v>4</v>
      </c>
      <c r="B440" s="8">
        <v>4</v>
      </c>
      <c r="C440" s="8">
        <v>5</v>
      </c>
      <c r="D440" s="94" t="s">
        <v>220</v>
      </c>
      <c r="E440" s="7">
        <v>0.9</v>
      </c>
      <c r="F440" s="73">
        <f t="shared" si="116"/>
        <v>85.5</v>
      </c>
      <c r="G440" s="8">
        <f t="shared" si="115"/>
        <v>90</v>
      </c>
      <c r="H440" s="8" t="str" cm="1">
        <f t="array" ref="H440">GetColorMatchValue(F440, $F$3:$F$10)</f>
        <v>s</v>
      </c>
      <c r="I440" s="101" t="str">
        <f t="shared" si="117"/>
        <v>&lt;tr data-section="445"&gt;&lt;td&gt;1 Set of 3 Reps&lt;/td&gt;&lt;td&gt;100%&lt;/td&gt;&lt;td&gt;${percent(s, 100)}kg&lt;/td&gt;&lt;/tr&gt;</v>
      </c>
    </row>
    <row r="441" spans="1:15" ht="15" customHeight="1" x14ac:dyDescent="0.25">
      <c r="A441" s="8">
        <v>4</v>
      </c>
      <c r="B441" s="8">
        <v>4</v>
      </c>
      <c r="C441" s="8">
        <v>5</v>
      </c>
      <c r="D441" s="94" t="s">
        <v>213</v>
      </c>
      <c r="E441" s="7">
        <v>1</v>
      </c>
      <c r="F441" s="73">
        <f t="shared" si="116"/>
        <v>95</v>
      </c>
      <c r="G441" s="8">
        <f t="shared" si="115"/>
        <v>100</v>
      </c>
      <c r="H441" s="8" t="str" cm="1">
        <f t="array" ref="H441">GetColorMatchValue(F441, $F$3:$F$10)</f>
        <v>s</v>
      </c>
      <c r="I441" s="101" t="str">
        <f t="shared" si="117"/>
        <v>&lt;tr data-section="445"&gt;&lt;td&gt;1 Set of 4 Reps&lt;/td&gt;&lt;td&gt;90%&lt;/td&gt;&lt;td&gt;${percent(s, 90)}kg&lt;/td&gt;&lt;/tr&gt;</v>
      </c>
    </row>
    <row r="442" spans="1:15" ht="15" customHeight="1" x14ac:dyDescent="0.25">
      <c r="A442" s="8">
        <v>4</v>
      </c>
      <c r="B442" s="8">
        <v>4</v>
      </c>
      <c r="C442" s="8">
        <v>5</v>
      </c>
      <c r="D442" s="94" t="s">
        <v>220</v>
      </c>
      <c r="E442" s="7">
        <v>0.9</v>
      </c>
      <c r="F442" s="73">
        <f t="shared" si="116"/>
        <v>85.5</v>
      </c>
      <c r="G442" s="8">
        <f t="shared" si="115"/>
        <v>90</v>
      </c>
      <c r="H442" s="8" t="str" cm="1">
        <f t="array" ref="H442">GetColorMatchValue(F442, $F$3:$F$10)</f>
        <v>s</v>
      </c>
      <c r="I442" s="101" t="str">
        <f t="shared" si="117"/>
        <v>&lt;tr data-section="445"&gt;&lt;td&gt;1 Set of 3 Reps&lt;/td&gt;&lt;td&gt;100%&lt;/td&gt;&lt;td&gt;${percent(s, 100)}kg&lt;/td&gt;&lt;/tr&gt;</v>
      </c>
    </row>
    <row r="443" spans="1:15" ht="15" customHeight="1" x14ac:dyDescent="0.25">
      <c r="A443" s="8">
        <v>4</v>
      </c>
      <c r="B443" s="8">
        <v>4</v>
      </c>
      <c r="C443" s="8">
        <v>5</v>
      </c>
      <c r="D443" s="94" t="s">
        <v>213</v>
      </c>
      <c r="E443" s="7">
        <v>1</v>
      </c>
      <c r="F443" s="73">
        <f t="shared" si="116"/>
        <v>95</v>
      </c>
      <c r="G443" s="8">
        <f t="shared" si="115"/>
        <v>100</v>
      </c>
      <c r="H443" s="8" t="str" cm="1">
        <f t="array" ref="H443">GetColorMatchValue(F443, $F$3:$F$10)</f>
        <v>s</v>
      </c>
      <c r="I443" s="101" t="str">
        <f t="shared" si="117"/>
        <v>&lt;tr data-section="445"&gt;&lt;td&gt;1 Set of 4 Reps&lt;/td&gt;&lt;td&gt;90%&lt;/td&gt;&lt;td&gt;${percent(s, 90)}kg&lt;/td&gt;&lt;/tr&gt;</v>
      </c>
    </row>
    <row r="444" spans="1:15" ht="15" customHeight="1" x14ac:dyDescent="0.25">
      <c r="A444" s="8">
        <v>4</v>
      </c>
      <c r="B444" s="8">
        <v>4</v>
      </c>
      <c r="C444" s="8">
        <v>5</v>
      </c>
      <c r="D444" s="94"/>
      <c r="E444" s="8"/>
      <c r="F444" s="71"/>
      <c r="G444" s="8" t="str">
        <f t="shared" si="115"/>
        <v/>
      </c>
      <c r="H444" s="8" t="str" cm="1">
        <f t="array" ref="H444">GetColorMatchValue(F444, $F$3:$F$10)</f>
        <v/>
      </c>
      <c r="I444" s="96" t="s">
        <v>287</v>
      </c>
    </row>
    <row r="445" spans="1:15" ht="15" customHeight="1" x14ac:dyDescent="0.25">
      <c r="A445" s="8">
        <v>4</v>
      </c>
      <c r="B445" s="8">
        <v>4</v>
      </c>
      <c r="C445" s="8">
        <v>6</v>
      </c>
      <c r="D445" s="93" t="s">
        <v>65</v>
      </c>
      <c r="E445" s="8"/>
      <c r="F445" s="71"/>
      <c r="G445" s="8" t="str">
        <f t="shared" si="115"/>
        <v/>
      </c>
      <c r="H445" s="8" t="str" cm="1">
        <f t="array" ref="H445">GetColorMatchValue(F445, $F$3:$F$10)</f>
        <v/>
      </c>
      <c r="I445" s="99" t="str">
        <f>"&lt;tr&gt;&lt;th colspan=""3""&gt;&lt;label&gt;"&amp;D444&amp;"&lt;input type=""checkbox"" class=""section-toggle"" data-section="""&amp;A444&amp;B444&amp;C444&amp;"""/&gt;&lt;/label&gt;&lt;/th&gt;&lt;/tr&gt;"</f>
        <v>&lt;tr&gt;&lt;th colspan="3"&gt;&lt;label&gt;&lt;input type="checkbox" class="section-toggle" data-section="445"/&gt;&lt;/label&gt;&lt;/th&gt;&lt;/tr&gt;</v>
      </c>
    </row>
    <row r="446" spans="1:15" ht="15" customHeight="1" x14ac:dyDescent="0.25">
      <c r="A446" s="95">
        <v>4</v>
      </c>
      <c r="B446" s="95">
        <v>4</v>
      </c>
      <c r="C446" s="8">
        <v>6</v>
      </c>
      <c r="D446" s="94" t="s">
        <v>201</v>
      </c>
      <c r="E446" s="94" t="s">
        <v>197</v>
      </c>
      <c r="F446" s="71"/>
      <c r="G446" s="8" t="str">
        <f t="shared" si="115"/>
        <v/>
      </c>
      <c r="H446" s="8" t="str" cm="1">
        <f t="array" ref="H446">GetColorMatchValue(F446, $F$3:$F$10)</f>
        <v/>
      </c>
      <c r="I446" s="104" t="str">
        <f>"&lt;tr data-section="""&amp;A445&amp;B445&amp;C445&amp;"""&gt;&lt;td colspan=""3""&gt;"&amp;D445&amp;" "&amp;E445&amp;"&lt;/td&gt;&lt;/tr&gt;"</f>
        <v>&lt;tr data-section="446"&gt;&lt;td colspan="3"&gt;Good Morning &lt;/td&gt;&lt;/tr&gt;</v>
      </c>
    </row>
    <row r="447" spans="1:15" ht="15" customHeight="1" x14ac:dyDescent="0.25">
      <c r="A447" s="8">
        <v>5</v>
      </c>
      <c r="B447" s="8">
        <v>1</v>
      </c>
      <c r="C447" s="8">
        <v>1</v>
      </c>
      <c r="D447" s="93" t="s">
        <v>0</v>
      </c>
      <c r="E447" s="8"/>
      <c r="F447" s="71"/>
      <c r="G447" s="8" t="str">
        <f t="shared" si="115"/>
        <v/>
      </c>
      <c r="H447" s="8" t="str" cm="1">
        <f t="array" ref="H447">GetColorMatchValue(F447, $F$3:$F$10)</f>
        <v/>
      </c>
      <c r="I447" s="99" t="str">
        <f>"&lt;tr&gt;&lt;th colspan=""3""&gt;&lt;label&gt;"&amp;D446&amp;"&lt;input type=""checkbox"" class=""section-toggle"" data-section="""&amp;A446&amp;B446&amp;C446&amp;"""/&gt;&lt;/label&gt;&lt;/th&gt;&lt;/tr&gt;"</f>
        <v>&lt;tr&gt;&lt;th colspan="3"&gt;&lt;label&gt;4 Sets of 8 Reps&lt;input type="checkbox" class="section-toggle" data-section="446"/&gt;&lt;/label&gt;&lt;/th&gt;&lt;/tr&gt;</v>
      </c>
      <c r="K447" s="62"/>
      <c r="L447" s="62"/>
      <c r="N447" s="62"/>
      <c r="O447" s="62"/>
    </row>
    <row r="448" spans="1:15" ht="15" customHeight="1" x14ac:dyDescent="0.25">
      <c r="A448" s="8">
        <v>5</v>
      </c>
      <c r="B448" s="8">
        <v>1</v>
      </c>
      <c r="C448" s="8">
        <v>1</v>
      </c>
      <c r="D448" s="94" t="s">
        <v>213</v>
      </c>
      <c r="E448" s="7">
        <v>0.6</v>
      </c>
      <c r="F448" s="72">
        <f>$E$3*E448</f>
        <v>120</v>
      </c>
      <c r="G448" s="8">
        <f t="shared" si="115"/>
        <v>60</v>
      </c>
      <c r="H448" s="8" t="str" cm="1">
        <f t="array" ref="H448">GetColorMatchValue(F448, $F$3:$F$10)</f>
        <v>bs</v>
      </c>
      <c r="I448" s="101" t="str">
        <f t="shared" ref="I448:I451" si="118">"&lt;tr data-section="""&amp;A447&amp;B447&amp;C447&amp;"""&gt;&lt;td&gt;"&amp;D447&amp;"&lt;/td&gt;&lt;td&gt;"&amp;G447&amp;"%&lt;/td&gt;&lt;td&gt;${percent("&amp;H447&amp;", "&amp;G447&amp;")}kg&lt;/td&gt;&lt;/tr&gt;"</f>
        <v>&lt;tr data-section="511"&gt;&lt;td&gt;Back Squat&lt;/td&gt;&lt;td&gt;%&lt;/td&gt;&lt;td&gt;${percent(, )}kg&lt;/td&gt;&lt;/tr&gt;</v>
      </c>
      <c r="K448" s="62"/>
      <c r="L448" s="62"/>
      <c r="N448" s="62"/>
      <c r="O448" s="62"/>
    </row>
    <row r="449" spans="1:15" ht="15" customHeight="1" x14ac:dyDescent="0.25">
      <c r="A449" s="8">
        <v>5</v>
      </c>
      <c r="B449" s="8">
        <v>1</v>
      </c>
      <c r="C449" s="8">
        <v>1</v>
      </c>
      <c r="D449" s="94" t="s">
        <v>213</v>
      </c>
      <c r="E449" s="7">
        <v>0.7</v>
      </c>
      <c r="F449" s="72">
        <f>$E$3*E449</f>
        <v>140</v>
      </c>
      <c r="G449" s="8">
        <f t="shared" si="115"/>
        <v>70</v>
      </c>
      <c r="H449" s="8" t="str" cm="1">
        <f t="array" ref="H449">GetColorMatchValue(F449, $F$3:$F$10)</f>
        <v>bs</v>
      </c>
      <c r="I449" s="101" t="str">
        <f t="shared" si="118"/>
        <v>&lt;tr data-section="511"&gt;&lt;td&gt;1 Set of 3 Reps&lt;/td&gt;&lt;td&gt;60%&lt;/td&gt;&lt;td&gt;${percent(bs, 60)}kg&lt;/td&gt;&lt;/tr&gt;</v>
      </c>
      <c r="K449" s="62"/>
      <c r="L449" s="62"/>
      <c r="N449" s="62"/>
      <c r="O449" s="62"/>
    </row>
    <row r="450" spans="1:15" ht="15" customHeight="1" x14ac:dyDescent="0.25">
      <c r="A450" s="8">
        <v>5</v>
      </c>
      <c r="B450" s="8">
        <v>1</v>
      </c>
      <c r="C450" s="8">
        <v>1</v>
      </c>
      <c r="D450" s="94" t="s">
        <v>213</v>
      </c>
      <c r="E450" s="7">
        <v>0.8</v>
      </c>
      <c r="F450" s="72">
        <f>$E$3*E450</f>
        <v>160</v>
      </c>
      <c r="G450" s="8">
        <f t="shared" si="115"/>
        <v>80</v>
      </c>
      <c r="H450" s="8" t="str" cm="1">
        <f t="array" ref="H450">GetColorMatchValue(F450, $F$3:$F$10)</f>
        <v>bs</v>
      </c>
      <c r="I450" s="101" t="str">
        <f t="shared" si="118"/>
        <v>&lt;tr data-section="511"&gt;&lt;td&gt;1 Set of 3 Reps&lt;/td&gt;&lt;td&gt;70%&lt;/td&gt;&lt;td&gt;${percent(bs, 70)}kg&lt;/td&gt;&lt;/tr&gt;</v>
      </c>
      <c r="K450" s="62"/>
      <c r="L450" s="62"/>
      <c r="N450" s="62"/>
      <c r="O450" s="62"/>
    </row>
    <row r="451" spans="1:15" ht="15" customHeight="1" x14ac:dyDescent="0.25">
      <c r="A451" s="8">
        <v>5</v>
      </c>
      <c r="B451" s="8">
        <v>1</v>
      </c>
      <c r="C451" s="8">
        <v>1</v>
      </c>
      <c r="D451" s="94" t="s">
        <v>213</v>
      </c>
      <c r="E451" s="7">
        <v>0.85</v>
      </c>
      <c r="F451" s="72">
        <f t="shared" ref="F451" si="119">$E$3*E451</f>
        <v>170</v>
      </c>
      <c r="G451" s="8">
        <f t="shared" si="115"/>
        <v>85</v>
      </c>
      <c r="H451" s="8" t="str" cm="1">
        <f t="array" ref="H451">GetColorMatchValue(F451, $F$3:$F$10)</f>
        <v>bs</v>
      </c>
      <c r="I451" s="101" t="str">
        <f t="shared" si="118"/>
        <v>&lt;tr data-section="511"&gt;&lt;td&gt;1 Set of 3 Reps&lt;/td&gt;&lt;td&gt;80%&lt;/td&gt;&lt;td&gt;${percent(bs, 80)}kg&lt;/td&gt;&lt;/tr&gt;</v>
      </c>
      <c r="K451" s="62"/>
      <c r="L451" s="62"/>
      <c r="N451" s="62"/>
      <c r="O451" s="62"/>
    </row>
    <row r="452" spans="1:15" ht="15" customHeight="1" x14ac:dyDescent="0.25">
      <c r="A452" s="8">
        <v>5</v>
      </c>
      <c r="B452" s="8">
        <v>1</v>
      </c>
      <c r="C452" s="8">
        <v>1</v>
      </c>
      <c r="D452" s="94"/>
      <c r="E452" s="8"/>
      <c r="F452" s="71"/>
      <c r="G452" s="8" t="str">
        <f t="shared" si="115"/>
        <v/>
      </c>
      <c r="H452" s="8" t="str" cm="1">
        <f t="array" ref="H452">GetColorMatchValue(F452, $F$3:$F$10)</f>
        <v/>
      </c>
      <c r="I452" s="96" t="s">
        <v>287</v>
      </c>
      <c r="K452" s="62"/>
      <c r="L452" s="62"/>
      <c r="N452" s="62"/>
      <c r="O452" s="62"/>
    </row>
    <row r="453" spans="1:15" ht="15" customHeight="1" x14ac:dyDescent="0.25">
      <c r="A453" s="8">
        <v>5</v>
      </c>
      <c r="B453" s="8">
        <v>1</v>
      </c>
      <c r="C453" s="8">
        <v>2</v>
      </c>
      <c r="D453" s="93" t="s">
        <v>1</v>
      </c>
      <c r="E453" s="8"/>
      <c r="F453" s="71"/>
      <c r="G453" s="8" t="str">
        <f t="shared" si="115"/>
        <v/>
      </c>
      <c r="H453" s="8" t="str" cm="1">
        <f t="array" ref="H453">GetColorMatchValue(F453, $F$3:$F$10)</f>
        <v/>
      </c>
      <c r="I453" s="99" t="str">
        <f>"&lt;tr&gt;&lt;th colspan=""3""&gt;&lt;label&gt;"&amp;D452&amp;"&lt;input type=""checkbox"" class=""section-toggle"" data-section="""&amp;A452&amp;B452&amp;C452&amp;"""/&gt;&lt;/label&gt;&lt;/th&gt;&lt;/tr&gt;"</f>
        <v>&lt;tr&gt;&lt;th colspan="3"&gt;&lt;label&gt;&lt;input type="checkbox" class="section-toggle" data-section="511"/&gt;&lt;/label&gt;&lt;/th&gt;&lt;/tr&gt;</v>
      </c>
      <c r="K453" s="62"/>
      <c r="L453" s="62"/>
      <c r="N453" s="62"/>
      <c r="O453" s="62"/>
    </row>
    <row r="454" spans="1:15" ht="15" customHeight="1" x14ac:dyDescent="0.25">
      <c r="A454" s="8">
        <v>5</v>
      </c>
      <c r="B454" s="8">
        <v>1</v>
      </c>
      <c r="C454" s="8">
        <v>2</v>
      </c>
      <c r="D454" s="94" t="s">
        <v>213</v>
      </c>
      <c r="E454" s="7">
        <v>0.6</v>
      </c>
      <c r="F454" s="73">
        <f t="shared" ref="F454:F455" si="120">$E$7*E454</f>
        <v>57</v>
      </c>
      <c r="G454" s="8">
        <f t="shared" si="115"/>
        <v>60</v>
      </c>
      <c r="H454" s="8" t="str" cm="1">
        <f t="array" ref="H454">GetColorMatchValue(F454, $F$3:$F$10)</f>
        <v>s</v>
      </c>
      <c r="I454" s="101" t="str">
        <f t="shared" ref="I454:I455" si="121">"&lt;tr data-section="""&amp;A453&amp;B453&amp;C453&amp;"""&gt;&lt;td&gt;"&amp;D453&amp;"&lt;/td&gt;&lt;td&gt;"&amp;G453&amp;"%&lt;/td&gt;&lt;td&gt;${percent("&amp;H453&amp;", "&amp;G453&amp;")}kg&lt;/td&gt;&lt;/tr&gt;"</f>
        <v>&lt;tr data-section="512"&gt;&lt;td&gt;Power Snatch&lt;/td&gt;&lt;td&gt;%&lt;/td&gt;&lt;td&gt;${percent(, )}kg&lt;/td&gt;&lt;/tr&gt;</v>
      </c>
      <c r="K454" s="62"/>
      <c r="L454" s="62"/>
      <c r="N454" s="62"/>
      <c r="O454" s="62"/>
    </row>
    <row r="455" spans="1:15" ht="15" customHeight="1" x14ac:dyDescent="0.25">
      <c r="A455" s="8">
        <v>5</v>
      </c>
      <c r="B455" s="8">
        <v>1</v>
      </c>
      <c r="C455" s="8">
        <v>2</v>
      </c>
      <c r="D455" s="94" t="s">
        <v>205</v>
      </c>
      <c r="E455" s="7">
        <v>0.7</v>
      </c>
      <c r="F455" s="73">
        <f t="shared" si="120"/>
        <v>66.5</v>
      </c>
      <c r="G455" s="8">
        <f t="shared" si="115"/>
        <v>70</v>
      </c>
      <c r="H455" s="8" t="str" cm="1">
        <f t="array" ref="H455">GetColorMatchValue(F455, $F$3:$F$10)</f>
        <v>s</v>
      </c>
      <c r="I455" s="101" t="str">
        <f t="shared" si="121"/>
        <v>&lt;tr data-section="512"&gt;&lt;td&gt;1 Set of 3 Reps&lt;/td&gt;&lt;td&gt;60%&lt;/td&gt;&lt;td&gt;${percent(s, 60)}kg&lt;/td&gt;&lt;/tr&gt;</v>
      </c>
      <c r="K455" s="62"/>
      <c r="L455" s="62"/>
      <c r="N455" s="62"/>
      <c r="O455" s="62"/>
    </row>
    <row r="456" spans="1:15" ht="15" customHeight="1" x14ac:dyDescent="0.25">
      <c r="A456" s="8">
        <v>5</v>
      </c>
      <c r="B456" s="8">
        <v>1</v>
      </c>
      <c r="C456" s="8">
        <v>2</v>
      </c>
      <c r="D456" s="94"/>
      <c r="E456" s="8"/>
      <c r="F456" s="71"/>
      <c r="G456" s="8" t="str">
        <f t="shared" si="115"/>
        <v/>
      </c>
      <c r="H456" s="8" t="str" cm="1">
        <f t="array" ref="H456">GetColorMatchValue(F456, $F$3:$F$10)</f>
        <v/>
      </c>
      <c r="I456" s="96" t="s">
        <v>287</v>
      </c>
      <c r="K456" s="62"/>
      <c r="L456" s="62"/>
      <c r="N456" s="62"/>
      <c r="O456" s="62"/>
    </row>
    <row r="457" spans="1:15" ht="15" customHeight="1" x14ac:dyDescent="0.25">
      <c r="A457" s="8">
        <v>5</v>
      </c>
      <c r="B457" s="8">
        <v>1</v>
      </c>
      <c r="C457" s="8">
        <v>3</v>
      </c>
      <c r="D457" s="93" t="s">
        <v>70</v>
      </c>
      <c r="E457" s="8"/>
      <c r="F457" s="71"/>
      <c r="G457" s="8" t="str">
        <f t="shared" si="115"/>
        <v/>
      </c>
      <c r="H457" s="8" t="str" cm="1">
        <f t="array" ref="H457">GetColorMatchValue(F457, $F$3:$F$10)</f>
        <v/>
      </c>
      <c r="I457" s="99" t="str">
        <f>"&lt;tr&gt;&lt;th colspan=""3""&gt;&lt;label&gt;"&amp;D456&amp;"&lt;input type=""checkbox"" class=""section-toggle"" data-section="""&amp;A456&amp;B456&amp;C456&amp;"""/&gt;&lt;/label&gt;&lt;/th&gt;&lt;/tr&gt;"</f>
        <v>&lt;tr&gt;&lt;th colspan="3"&gt;&lt;label&gt;&lt;input type="checkbox" class="section-toggle" data-section="512"/&gt;&lt;/label&gt;&lt;/th&gt;&lt;/tr&gt;</v>
      </c>
      <c r="K457" s="62"/>
      <c r="L457" s="62"/>
      <c r="N457" s="62"/>
      <c r="O457" s="62"/>
    </row>
    <row r="458" spans="1:15" ht="15" customHeight="1" x14ac:dyDescent="0.25">
      <c r="A458" s="8">
        <v>5</v>
      </c>
      <c r="B458" s="8">
        <v>1</v>
      </c>
      <c r="C458" s="8">
        <v>3</v>
      </c>
      <c r="D458" s="94" t="s">
        <v>268</v>
      </c>
      <c r="E458" s="7">
        <v>0.6</v>
      </c>
      <c r="F458" s="77">
        <f t="shared" ref="F458:F459" si="122">$E$8*E458</f>
        <v>69</v>
      </c>
      <c r="G458" s="8">
        <f t="shared" si="115"/>
        <v>60</v>
      </c>
      <c r="H458" s="8" t="str" cm="1">
        <f t="array" ref="H458">GetColorMatchValue(F458, $F$3:$F$10)</f>
        <v>cj</v>
      </c>
      <c r="I458" s="101" t="str">
        <f t="shared" ref="I458:I459" si="123">"&lt;tr data-section="""&amp;A457&amp;B457&amp;C457&amp;"""&gt;&lt;td&gt;"&amp;D457&amp;"&lt;/td&gt;&lt;td&gt;"&amp;G457&amp;"%&lt;/td&gt;&lt;td&gt;${percent("&amp;H457&amp;", "&amp;G457&amp;")}kg&lt;/td&gt;&lt;/tr&gt;"</f>
        <v>&lt;tr data-section="513"&gt;&lt;td&gt;Power Clean + Jerk&lt;/td&gt;&lt;td&gt;%&lt;/td&gt;&lt;td&gt;${percent(, )}kg&lt;/td&gt;&lt;/tr&gt;</v>
      </c>
      <c r="K458" s="62"/>
      <c r="L458" s="62"/>
      <c r="N458" s="62"/>
      <c r="O458" s="62"/>
    </row>
    <row r="459" spans="1:15" ht="15" customHeight="1" x14ac:dyDescent="0.25">
      <c r="A459" s="8">
        <v>5</v>
      </c>
      <c r="B459" s="8">
        <v>1</v>
      </c>
      <c r="C459" s="8">
        <v>3</v>
      </c>
      <c r="D459" s="94" t="s">
        <v>267</v>
      </c>
      <c r="E459" s="7">
        <v>0.7</v>
      </c>
      <c r="F459" s="77">
        <f t="shared" si="122"/>
        <v>80.5</v>
      </c>
      <c r="G459" s="8">
        <f t="shared" si="115"/>
        <v>70</v>
      </c>
      <c r="H459" s="8" t="str" cm="1">
        <f t="array" ref="H459">GetColorMatchValue(F459, $F$3:$F$10)</f>
        <v>cj</v>
      </c>
      <c r="I459" s="101" t="str">
        <f t="shared" si="123"/>
        <v>&lt;tr data-section="513"&gt;&lt;td&gt;1 Set of 3 P.Cl. + 1 Jr.&lt;/td&gt;&lt;td&gt;60%&lt;/td&gt;&lt;td&gt;${percent(cj, 60)}kg&lt;/td&gt;&lt;/tr&gt;</v>
      </c>
      <c r="K459" s="62"/>
      <c r="L459" s="62"/>
      <c r="N459" s="62"/>
      <c r="O459" s="62"/>
    </row>
    <row r="460" spans="1:15" ht="15" customHeight="1" x14ac:dyDescent="0.25">
      <c r="A460" s="8">
        <v>5</v>
      </c>
      <c r="B460" s="8">
        <v>1</v>
      </c>
      <c r="C460" s="8">
        <v>3</v>
      </c>
      <c r="D460" s="94"/>
      <c r="E460" s="8"/>
      <c r="F460" s="71"/>
      <c r="G460" s="8" t="str">
        <f t="shared" si="115"/>
        <v/>
      </c>
      <c r="H460" s="8" t="str" cm="1">
        <f t="array" ref="H460">GetColorMatchValue(F460, $F$3:$F$10)</f>
        <v/>
      </c>
      <c r="I460" s="96" t="s">
        <v>287</v>
      </c>
      <c r="K460" s="62"/>
      <c r="L460" s="62"/>
      <c r="N460" s="62"/>
      <c r="O460" s="62"/>
    </row>
    <row r="461" spans="1:15" ht="15" customHeight="1" x14ac:dyDescent="0.25">
      <c r="A461" s="8">
        <v>5</v>
      </c>
      <c r="B461" s="8">
        <v>1</v>
      </c>
      <c r="C461" s="8">
        <v>4</v>
      </c>
      <c r="D461" s="93" t="s">
        <v>89</v>
      </c>
      <c r="E461" s="8"/>
      <c r="F461" s="71"/>
      <c r="G461" s="8" t="str">
        <f t="shared" si="115"/>
        <v/>
      </c>
      <c r="H461" s="8" t="str" cm="1">
        <f t="array" ref="H461">GetColorMatchValue(F461, $F$3:$F$10)</f>
        <v/>
      </c>
      <c r="I461" s="99" t="str">
        <f>"&lt;tr&gt;&lt;th colspan=""3""&gt;&lt;label&gt;"&amp;D460&amp;"&lt;input type=""checkbox"" class=""section-toggle"" data-section="""&amp;A460&amp;B460&amp;C460&amp;"""/&gt;&lt;/label&gt;&lt;/th&gt;&lt;/tr&gt;"</f>
        <v>&lt;tr&gt;&lt;th colspan="3"&gt;&lt;label&gt;&lt;input type="checkbox" class="section-toggle" data-section="513"/&gt;&lt;/label&gt;&lt;/th&gt;&lt;/tr&gt;</v>
      </c>
      <c r="K461" s="62"/>
      <c r="L461" s="62"/>
      <c r="N461" s="62"/>
      <c r="O461" s="62"/>
    </row>
    <row r="462" spans="1:15" ht="15" customHeight="1" x14ac:dyDescent="0.25">
      <c r="A462" s="8">
        <v>5</v>
      </c>
      <c r="B462" s="8">
        <v>1</v>
      </c>
      <c r="C462" s="8">
        <v>4</v>
      </c>
      <c r="D462" s="94" t="s">
        <v>240</v>
      </c>
      <c r="E462" s="7">
        <v>0.9</v>
      </c>
      <c r="F462" s="75">
        <f>$E$6*E462</f>
        <v>99</v>
      </c>
      <c r="G462" s="8">
        <f t="shared" si="115"/>
        <v>90</v>
      </c>
      <c r="H462" s="8" t="str" cm="1">
        <f t="array" ref="H462">GetColorMatchValue(F462, $F$3:$F$10)</f>
        <v>c</v>
      </c>
      <c r="I462" s="101" t="str">
        <f>"&lt;tr data-section="""&amp;A461&amp;B461&amp;C461&amp;"""&gt;&lt;td&gt;"&amp;D461&amp;"&lt;/td&gt;&lt;td&gt;"&amp;G461&amp;"%&lt;/td&gt;&lt;td&gt;${percent("&amp;H461&amp;", "&amp;G461&amp;")}kg&lt;/td&gt;&lt;/tr&gt;"</f>
        <v>&lt;tr data-section="514"&gt;&lt;td&gt;Clean Pull &lt;/td&gt;&lt;td&gt;%&lt;/td&gt;&lt;td&gt;${percent(, )}kg&lt;/td&gt;&lt;/tr&gt;</v>
      </c>
      <c r="K462" s="62"/>
      <c r="L462" s="62"/>
      <c r="N462" s="62"/>
      <c r="O462" s="62"/>
    </row>
    <row r="463" spans="1:15" ht="15" customHeight="1" x14ac:dyDescent="0.25">
      <c r="A463" s="8">
        <v>5</v>
      </c>
      <c r="B463" s="8">
        <v>1</v>
      </c>
      <c r="C463" s="8">
        <v>4</v>
      </c>
      <c r="D463" s="94"/>
      <c r="E463" s="8"/>
      <c r="F463" s="71"/>
      <c r="G463" s="8" t="str">
        <f t="shared" si="115"/>
        <v/>
      </c>
      <c r="H463" s="8" t="str" cm="1">
        <f t="array" ref="H463">GetColorMatchValue(F463, $F$3:$F$10)</f>
        <v/>
      </c>
      <c r="I463" s="96" t="s">
        <v>287</v>
      </c>
      <c r="K463" s="62"/>
      <c r="L463" s="62"/>
      <c r="N463" s="62"/>
      <c r="O463" s="62"/>
    </row>
    <row r="464" spans="1:15" ht="15" customHeight="1" x14ac:dyDescent="0.25">
      <c r="A464" s="8">
        <v>5</v>
      </c>
      <c r="B464" s="8">
        <v>1</v>
      </c>
      <c r="C464" s="8">
        <v>5</v>
      </c>
      <c r="D464" s="93" t="s">
        <v>27</v>
      </c>
      <c r="E464" s="8"/>
      <c r="F464" s="71"/>
      <c r="G464" s="8" t="str">
        <f t="shared" si="115"/>
        <v/>
      </c>
      <c r="H464" s="8" t="str" cm="1">
        <f t="array" ref="H464">GetColorMatchValue(F464, $F$3:$F$10)</f>
        <v/>
      </c>
      <c r="I464" s="99" t="str">
        <f>"&lt;tr&gt;&lt;th colspan=""3""&gt;&lt;label&gt;"&amp;D463&amp;"&lt;input type=""checkbox"" class=""section-toggle"" data-section="""&amp;A463&amp;B463&amp;C463&amp;"""/&gt;&lt;/label&gt;&lt;/th&gt;&lt;/tr&gt;"</f>
        <v>&lt;tr&gt;&lt;th colspan="3"&gt;&lt;label&gt;&lt;input type="checkbox" class="section-toggle" data-section="514"/&gt;&lt;/label&gt;&lt;/th&gt;&lt;/tr&gt;</v>
      </c>
      <c r="K464" s="62"/>
      <c r="L464" s="62"/>
      <c r="N464" s="62"/>
      <c r="O464" s="62"/>
    </row>
    <row r="465" spans="1:15" ht="15" customHeight="1" x14ac:dyDescent="0.25">
      <c r="A465" s="95">
        <v>5</v>
      </c>
      <c r="B465" s="95">
        <v>1</v>
      </c>
      <c r="C465" s="8">
        <v>5</v>
      </c>
      <c r="D465" s="94" t="s">
        <v>204</v>
      </c>
      <c r="E465" s="8" t="s">
        <v>194</v>
      </c>
      <c r="F465" s="71"/>
      <c r="G465" s="8" t="str">
        <f t="shared" si="115"/>
        <v/>
      </c>
      <c r="H465" s="8" t="str" cm="1">
        <f t="array" ref="H465">GetColorMatchValue(F465, $F$3:$F$10)</f>
        <v/>
      </c>
      <c r="I465" s="104" t="str">
        <f>"&lt;tr data-section="""&amp;A464&amp;B464&amp;C464&amp;"""&gt;&lt;td colspan=""3""&gt;"&amp;D464&amp;" "&amp;E464&amp;"&lt;/td&gt;&lt;/tr&gt;"</f>
        <v>&lt;tr data-section="515"&gt;&lt;td colspan="3"&gt;Abdominals &lt;/td&gt;&lt;/tr&gt;</v>
      </c>
      <c r="K465" s="62"/>
      <c r="L465" s="62"/>
      <c r="N465" s="62"/>
      <c r="O465" s="62"/>
    </row>
    <row r="466" spans="1:15" ht="15" customHeight="1" x14ac:dyDescent="0.25">
      <c r="A466" s="8">
        <v>5</v>
      </c>
      <c r="B466" s="8">
        <v>2</v>
      </c>
      <c r="C466" s="8">
        <v>1</v>
      </c>
      <c r="D466" s="93" t="s">
        <v>34</v>
      </c>
      <c r="E466" s="8"/>
      <c r="F466" s="71"/>
      <c r="G466" s="8" t="str">
        <f t="shared" si="115"/>
        <v/>
      </c>
      <c r="H466" s="8" t="str" cm="1">
        <f t="array" ref="H466">GetColorMatchValue(F466, $F$3:$F$10)</f>
        <v/>
      </c>
      <c r="I466" s="99" t="str">
        <f>"&lt;tr&gt;&lt;th colspan=""3""&gt;&lt;label&gt;"&amp;D465&amp;"&lt;input type=""checkbox"" class=""section-toggle"" data-section="""&amp;A465&amp;B465&amp;C465&amp;"""/&gt;&lt;/label&gt;&lt;/th&gt;&lt;/tr&gt;"</f>
        <v>&lt;tr&gt;&lt;th colspan="3"&gt;&lt;label&gt;4 Sets of 30 Reps&lt;input type="checkbox" class="section-toggle" data-section="515"/&gt;&lt;/label&gt;&lt;/th&gt;&lt;/tr&gt;</v>
      </c>
      <c r="K466" s="62"/>
      <c r="L466" s="62"/>
      <c r="O466" s="45"/>
    </row>
    <row r="467" spans="1:15" ht="15" customHeight="1" x14ac:dyDescent="0.25">
      <c r="A467" s="8">
        <v>5</v>
      </c>
      <c r="B467" s="8">
        <v>2</v>
      </c>
      <c r="C467" s="8">
        <v>1</v>
      </c>
      <c r="D467" s="94" t="s">
        <v>220</v>
      </c>
      <c r="E467" s="7">
        <v>0.6</v>
      </c>
      <c r="F467" s="79">
        <f t="shared" ref="F467:F472" si="124">$E$4*E467</f>
        <v>84</v>
      </c>
      <c r="G467" s="8">
        <f t="shared" si="115"/>
        <v>60</v>
      </c>
      <c r="H467" s="8" t="str" cm="1">
        <f t="array" ref="H467">GetColorMatchValue(F467, $F$3:$F$10)</f>
        <v>fs</v>
      </c>
      <c r="I467" s="101" t="str">
        <f t="shared" ref="I467:I472" si="125">"&lt;tr data-section="""&amp;A466&amp;B466&amp;C466&amp;"""&gt;&lt;td&gt;"&amp;D466&amp;"&lt;/td&gt;&lt;td&gt;"&amp;G466&amp;"%&lt;/td&gt;&lt;td&gt;${percent("&amp;H466&amp;", "&amp;G466&amp;")}kg&lt;/td&gt;&lt;/tr&gt;"</f>
        <v>&lt;tr data-section="521"&gt;&lt;td&gt;Front Squat&lt;/td&gt;&lt;td&gt;%&lt;/td&gt;&lt;td&gt;${percent(, )}kg&lt;/td&gt;&lt;/tr&gt;</v>
      </c>
      <c r="K467" s="62"/>
      <c r="L467" s="62"/>
      <c r="O467" s="45"/>
    </row>
    <row r="468" spans="1:15" ht="15" customHeight="1" x14ac:dyDescent="0.25">
      <c r="A468" s="8">
        <v>5</v>
      </c>
      <c r="B468" s="8">
        <v>2</v>
      </c>
      <c r="C468" s="8">
        <v>1</v>
      </c>
      <c r="D468" s="94" t="s">
        <v>220</v>
      </c>
      <c r="E468" s="7">
        <v>0.7</v>
      </c>
      <c r="F468" s="79">
        <f t="shared" si="124"/>
        <v>98</v>
      </c>
      <c r="G468" s="8">
        <f t="shared" si="115"/>
        <v>70</v>
      </c>
      <c r="H468" s="8" t="str" cm="1">
        <f t="array" ref="H468">GetColorMatchValue(F468, $F$3:$F$10)</f>
        <v>fs</v>
      </c>
      <c r="I468" s="101" t="str">
        <f t="shared" si="125"/>
        <v>&lt;tr data-section="521"&gt;&lt;td&gt;1 Set of 4 Reps&lt;/td&gt;&lt;td&gt;60%&lt;/td&gt;&lt;td&gt;${percent(fs, 60)}kg&lt;/td&gt;&lt;/tr&gt;</v>
      </c>
      <c r="K468" s="62"/>
      <c r="L468" s="62"/>
      <c r="O468" s="45"/>
    </row>
    <row r="469" spans="1:15" ht="15" customHeight="1" x14ac:dyDescent="0.25">
      <c r="A469" s="8">
        <v>5</v>
      </c>
      <c r="B469" s="8">
        <v>2</v>
      </c>
      <c r="C469" s="8">
        <v>1</v>
      </c>
      <c r="D469" s="94" t="s">
        <v>220</v>
      </c>
      <c r="E469" s="7">
        <v>0.8</v>
      </c>
      <c r="F469" s="79">
        <f t="shared" si="124"/>
        <v>112</v>
      </c>
      <c r="G469" s="8">
        <f t="shared" si="115"/>
        <v>80</v>
      </c>
      <c r="H469" s="8" t="str" cm="1">
        <f t="array" ref="H469">GetColorMatchValue(F469, $F$3:$F$10)</f>
        <v>fs</v>
      </c>
      <c r="I469" s="101" t="str">
        <f t="shared" si="125"/>
        <v>&lt;tr data-section="521"&gt;&lt;td&gt;1 Set of 4 Reps&lt;/td&gt;&lt;td&gt;70%&lt;/td&gt;&lt;td&gt;${percent(fs, 70)}kg&lt;/td&gt;&lt;/tr&gt;</v>
      </c>
      <c r="K469" s="62"/>
      <c r="L469" s="62"/>
      <c r="O469" s="45"/>
    </row>
    <row r="470" spans="1:15" ht="15" customHeight="1" x14ac:dyDescent="0.25">
      <c r="A470" s="8">
        <v>5</v>
      </c>
      <c r="B470" s="8">
        <v>2</v>
      </c>
      <c r="C470" s="8">
        <v>1</v>
      </c>
      <c r="D470" s="94" t="s">
        <v>220</v>
      </c>
      <c r="E470" s="7">
        <v>0.85</v>
      </c>
      <c r="F470" s="79">
        <f t="shared" si="124"/>
        <v>119</v>
      </c>
      <c r="G470" s="8">
        <f t="shared" si="115"/>
        <v>85</v>
      </c>
      <c r="H470" s="8" t="str" cm="1">
        <f t="array" ref="H470">GetColorMatchValue(F470, $F$3:$F$10)</f>
        <v>fs</v>
      </c>
      <c r="I470" s="101" t="str">
        <f t="shared" si="125"/>
        <v>&lt;tr data-section="521"&gt;&lt;td&gt;1 Set of 4 Reps&lt;/td&gt;&lt;td&gt;80%&lt;/td&gt;&lt;td&gt;${percent(fs, 80)}kg&lt;/td&gt;&lt;/tr&gt;</v>
      </c>
      <c r="K470" s="62"/>
      <c r="L470" s="62"/>
      <c r="O470" s="45"/>
    </row>
    <row r="471" spans="1:15" ht="15" customHeight="1" x14ac:dyDescent="0.25">
      <c r="A471" s="8">
        <v>5</v>
      </c>
      <c r="B471" s="8">
        <v>2</v>
      </c>
      <c r="C471" s="8">
        <v>1</v>
      </c>
      <c r="D471" s="94" t="s">
        <v>220</v>
      </c>
      <c r="E471" s="7">
        <v>0.8</v>
      </c>
      <c r="F471" s="79">
        <f t="shared" si="124"/>
        <v>112</v>
      </c>
      <c r="G471" s="8">
        <f t="shared" si="115"/>
        <v>80</v>
      </c>
      <c r="H471" s="8" t="str" cm="1">
        <f t="array" ref="H471">GetColorMatchValue(F471, $F$3:$F$10)</f>
        <v>fs</v>
      </c>
      <c r="I471" s="101" t="str">
        <f t="shared" si="125"/>
        <v>&lt;tr data-section="521"&gt;&lt;td&gt;1 Set of 4 Reps&lt;/td&gt;&lt;td&gt;85%&lt;/td&gt;&lt;td&gt;${percent(fs, 85)}kg&lt;/td&gt;&lt;/tr&gt;</v>
      </c>
      <c r="K471" s="62"/>
      <c r="L471" s="62"/>
      <c r="O471" s="45"/>
    </row>
    <row r="472" spans="1:15" ht="15" customHeight="1" x14ac:dyDescent="0.25">
      <c r="A472" s="8">
        <v>5</v>
      </c>
      <c r="B472" s="8">
        <v>2</v>
      </c>
      <c r="C472" s="8">
        <v>1</v>
      </c>
      <c r="D472" s="94" t="s">
        <v>220</v>
      </c>
      <c r="E472" s="7">
        <v>0.85</v>
      </c>
      <c r="F472" s="79">
        <f t="shared" si="124"/>
        <v>119</v>
      </c>
      <c r="G472" s="8">
        <f t="shared" si="115"/>
        <v>85</v>
      </c>
      <c r="H472" s="8" t="str" cm="1">
        <f t="array" ref="H472">GetColorMatchValue(F472, $F$3:$F$10)</f>
        <v>fs</v>
      </c>
      <c r="I472" s="101" t="str">
        <f t="shared" si="125"/>
        <v>&lt;tr data-section="521"&gt;&lt;td&gt;1 Set of 4 Reps&lt;/td&gt;&lt;td&gt;80%&lt;/td&gt;&lt;td&gt;${percent(fs, 80)}kg&lt;/td&gt;&lt;/tr&gt;</v>
      </c>
      <c r="K472" s="62"/>
      <c r="L472" s="62"/>
      <c r="O472" s="45"/>
    </row>
    <row r="473" spans="1:15" ht="15" customHeight="1" x14ac:dyDescent="0.25">
      <c r="A473" s="8">
        <v>5</v>
      </c>
      <c r="B473" s="8">
        <v>2</v>
      </c>
      <c r="C473" s="8">
        <v>1</v>
      </c>
      <c r="D473" s="94"/>
      <c r="E473" s="8"/>
      <c r="F473" s="71"/>
      <c r="G473" s="8" t="str">
        <f t="shared" si="115"/>
        <v/>
      </c>
      <c r="H473" s="8" t="str" cm="1">
        <f t="array" ref="H473">GetColorMatchValue(F473, $F$3:$F$10)</f>
        <v/>
      </c>
      <c r="I473" s="96" t="s">
        <v>287</v>
      </c>
      <c r="K473" s="62"/>
      <c r="L473" s="62"/>
      <c r="O473" s="45"/>
    </row>
    <row r="474" spans="1:15" ht="15" customHeight="1" x14ac:dyDescent="0.25">
      <c r="A474" s="8">
        <v>5</v>
      </c>
      <c r="B474" s="8">
        <v>2</v>
      </c>
      <c r="C474" s="8">
        <v>2</v>
      </c>
      <c r="D474" s="93" t="s">
        <v>42</v>
      </c>
      <c r="E474" s="8"/>
      <c r="F474" s="71"/>
      <c r="G474" s="8" t="str">
        <f t="shared" si="115"/>
        <v/>
      </c>
      <c r="H474" s="8" t="str" cm="1">
        <f t="array" ref="H474">GetColorMatchValue(F474, $F$3:$F$10)</f>
        <v/>
      </c>
      <c r="I474" s="99" t="str">
        <f>"&lt;tr&gt;&lt;th colspan=""3""&gt;&lt;label&gt;"&amp;D473&amp;"&lt;input type=""checkbox"" class=""section-toggle"" data-section="""&amp;A473&amp;B473&amp;C473&amp;"""/&gt;&lt;/label&gt;&lt;/th&gt;&lt;/tr&gt;"</f>
        <v>&lt;tr&gt;&lt;th colspan="3"&gt;&lt;label&gt;&lt;input type="checkbox" class="section-toggle" data-section="521"/&gt;&lt;/label&gt;&lt;/th&gt;&lt;/tr&gt;</v>
      </c>
      <c r="K474" s="62"/>
      <c r="L474" s="62"/>
      <c r="O474" s="45"/>
    </row>
    <row r="475" spans="1:15" ht="15" customHeight="1" x14ac:dyDescent="0.25">
      <c r="A475" s="8">
        <v>5</v>
      </c>
      <c r="B475" s="8">
        <v>2</v>
      </c>
      <c r="C475" s="8">
        <v>2</v>
      </c>
      <c r="D475" s="94" t="s">
        <v>236</v>
      </c>
      <c r="E475" s="7">
        <v>0.6</v>
      </c>
      <c r="F475" s="73">
        <f t="shared" ref="F475:F479" si="126">$E$7*E475</f>
        <v>57</v>
      </c>
      <c r="G475" s="8">
        <f t="shared" si="115"/>
        <v>60</v>
      </c>
      <c r="H475" s="8" t="str" cm="1">
        <f t="array" ref="H475">GetColorMatchValue(F475, $F$3:$F$10)</f>
        <v>s</v>
      </c>
      <c r="I475" s="101" t="str">
        <f t="shared" ref="I475:I479" si="127">"&lt;tr data-section="""&amp;A474&amp;B474&amp;C474&amp;"""&gt;&lt;td&gt;"&amp;D474&amp;"&lt;/td&gt;&lt;td&gt;"&amp;G474&amp;"%&lt;/td&gt;&lt;td&gt;${percent("&amp;H474&amp;", "&amp;G474&amp;")}kg&lt;/td&gt;&lt;/tr&gt;"</f>
        <v>&lt;tr data-section="522"&gt;&lt;td&gt;Snatch&lt;/td&gt;&lt;td&gt;%&lt;/td&gt;&lt;td&gt;${percent(, )}kg&lt;/td&gt;&lt;/tr&gt;</v>
      </c>
      <c r="K475" s="62"/>
      <c r="L475" s="62"/>
      <c r="O475" s="45"/>
    </row>
    <row r="476" spans="1:15" ht="15" customHeight="1" x14ac:dyDescent="0.25">
      <c r="A476" s="8">
        <v>5</v>
      </c>
      <c r="B476" s="8">
        <v>2</v>
      </c>
      <c r="C476" s="8">
        <v>2</v>
      </c>
      <c r="D476" s="94" t="s">
        <v>236</v>
      </c>
      <c r="E476" s="7">
        <v>0.7</v>
      </c>
      <c r="F476" s="73">
        <f t="shared" si="126"/>
        <v>66.5</v>
      </c>
      <c r="G476" s="8">
        <f t="shared" si="115"/>
        <v>70</v>
      </c>
      <c r="H476" s="8" t="str" cm="1">
        <f t="array" ref="H476">GetColorMatchValue(F476, $F$3:$F$10)</f>
        <v>s</v>
      </c>
      <c r="I476" s="101" t="str">
        <f t="shared" si="127"/>
        <v>&lt;tr data-section="522"&gt;&lt;td&gt;1 Set of 2 Reps&lt;/td&gt;&lt;td&gt;60%&lt;/td&gt;&lt;td&gt;${percent(s, 60)}kg&lt;/td&gt;&lt;/tr&gt;</v>
      </c>
      <c r="K476" s="62"/>
      <c r="L476" s="62"/>
      <c r="O476" s="45"/>
    </row>
    <row r="477" spans="1:15" ht="15" customHeight="1" x14ac:dyDescent="0.25">
      <c r="A477" s="8">
        <v>5</v>
      </c>
      <c r="B477" s="8">
        <v>2</v>
      </c>
      <c r="C477" s="8">
        <v>2</v>
      </c>
      <c r="D477" s="94" t="s">
        <v>236</v>
      </c>
      <c r="E477" s="7">
        <v>0.8</v>
      </c>
      <c r="F477" s="73">
        <f t="shared" si="126"/>
        <v>76</v>
      </c>
      <c r="G477" s="8">
        <f t="shared" si="115"/>
        <v>80</v>
      </c>
      <c r="H477" s="8" t="str" cm="1">
        <f t="array" ref="H477">GetColorMatchValue(F477, $F$3:$F$10)</f>
        <v>s</v>
      </c>
      <c r="I477" s="101" t="str">
        <f t="shared" si="127"/>
        <v>&lt;tr data-section="522"&gt;&lt;td&gt;1 Set of 2 Reps&lt;/td&gt;&lt;td&gt;70%&lt;/td&gt;&lt;td&gt;${percent(s, 70)}kg&lt;/td&gt;&lt;/tr&gt;</v>
      </c>
      <c r="K477" s="62"/>
      <c r="L477" s="62"/>
      <c r="O477" s="45"/>
    </row>
    <row r="478" spans="1:15" ht="15" customHeight="1" x14ac:dyDescent="0.25">
      <c r="A478" s="8">
        <v>5</v>
      </c>
      <c r="B478" s="8">
        <v>2</v>
      </c>
      <c r="C478" s="8">
        <v>2</v>
      </c>
      <c r="D478" s="94" t="s">
        <v>212</v>
      </c>
      <c r="E478" s="7">
        <v>0.85</v>
      </c>
      <c r="F478" s="73">
        <f t="shared" si="126"/>
        <v>80.75</v>
      </c>
      <c r="G478" s="8">
        <f t="shared" si="115"/>
        <v>85</v>
      </c>
      <c r="H478" s="8" t="str" cm="1">
        <f t="array" ref="H478">GetColorMatchValue(F478, $F$3:$F$10)</f>
        <v>s</v>
      </c>
      <c r="I478" s="101" t="str">
        <f t="shared" si="127"/>
        <v>&lt;tr data-section="522"&gt;&lt;td&gt;1 Set of 2 Reps&lt;/td&gt;&lt;td&gt;80%&lt;/td&gt;&lt;td&gt;${percent(s, 80)}kg&lt;/td&gt;&lt;/tr&gt;</v>
      </c>
      <c r="K478" s="62"/>
      <c r="L478" s="62"/>
      <c r="O478" s="45"/>
    </row>
    <row r="479" spans="1:15" ht="15" customHeight="1" x14ac:dyDescent="0.25">
      <c r="A479" s="8">
        <v>5</v>
      </c>
      <c r="B479" s="8">
        <v>2</v>
      </c>
      <c r="C479" s="8">
        <v>2</v>
      </c>
      <c r="D479" s="94" t="s">
        <v>238</v>
      </c>
      <c r="E479" s="7">
        <v>0.8</v>
      </c>
      <c r="F479" s="73">
        <f t="shared" si="126"/>
        <v>76</v>
      </c>
      <c r="G479" s="8">
        <f t="shared" si="115"/>
        <v>80</v>
      </c>
      <c r="H479" s="8" t="str" cm="1">
        <f t="array" ref="H479">GetColorMatchValue(F479, $F$3:$F$10)</f>
        <v>s</v>
      </c>
      <c r="I479" s="101" t="str">
        <f t="shared" si="127"/>
        <v>&lt;tr data-section="522"&gt;&lt;td&gt;1 Set of 1 Rep&lt;/td&gt;&lt;td&gt;85%&lt;/td&gt;&lt;td&gt;${percent(s, 85)}kg&lt;/td&gt;&lt;/tr&gt;</v>
      </c>
      <c r="K479" s="62"/>
      <c r="L479" s="62"/>
      <c r="O479" s="45"/>
    </row>
    <row r="480" spans="1:15" ht="15" customHeight="1" x14ac:dyDescent="0.25">
      <c r="A480" s="8">
        <v>5</v>
      </c>
      <c r="B480" s="8">
        <v>2</v>
      </c>
      <c r="C480" s="8">
        <v>2</v>
      </c>
      <c r="D480" s="94"/>
      <c r="E480" s="8"/>
      <c r="F480" s="71"/>
      <c r="G480" s="8" t="str">
        <f t="shared" si="115"/>
        <v/>
      </c>
      <c r="H480" s="8" t="str" cm="1">
        <f t="array" ref="H480">GetColorMatchValue(F480, $F$3:$F$10)</f>
        <v/>
      </c>
      <c r="I480" s="96" t="s">
        <v>287</v>
      </c>
      <c r="K480" s="62"/>
      <c r="L480" s="62"/>
      <c r="O480" s="45"/>
    </row>
    <row r="481" spans="1:15" ht="15" customHeight="1" x14ac:dyDescent="0.25">
      <c r="A481" s="8">
        <v>5</v>
      </c>
      <c r="B481" s="8">
        <v>2</v>
      </c>
      <c r="C481" s="8">
        <v>3</v>
      </c>
      <c r="D481" s="93" t="s">
        <v>43</v>
      </c>
      <c r="E481" s="8"/>
      <c r="F481" s="71"/>
      <c r="G481" s="8" t="str">
        <f t="shared" si="115"/>
        <v/>
      </c>
      <c r="H481" s="8" t="str" cm="1">
        <f t="array" ref="H481">GetColorMatchValue(F481, $F$3:$F$10)</f>
        <v/>
      </c>
      <c r="I481" s="99" t="str">
        <f>"&lt;tr&gt;&lt;th colspan=""3""&gt;&lt;label&gt;"&amp;D480&amp;"&lt;input type=""checkbox"" class=""section-toggle"" data-section="""&amp;A480&amp;B480&amp;C480&amp;"""/&gt;&lt;/label&gt;&lt;/th&gt;&lt;/tr&gt;"</f>
        <v>&lt;tr&gt;&lt;th colspan="3"&gt;&lt;label&gt;&lt;input type="checkbox" class="section-toggle" data-section="522"/&gt;&lt;/label&gt;&lt;/th&gt;&lt;/tr&gt;</v>
      </c>
      <c r="K481" s="62"/>
      <c r="L481" s="62"/>
      <c r="O481" s="45"/>
    </row>
    <row r="482" spans="1:15" ht="15" customHeight="1" x14ac:dyDescent="0.25">
      <c r="A482" s="8">
        <v>5</v>
      </c>
      <c r="B482" s="8">
        <v>2</v>
      </c>
      <c r="C482" s="8">
        <v>3</v>
      </c>
      <c r="D482" s="94" t="s">
        <v>230</v>
      </c>
      <c r="E482" s="7">
        <v>0.6</v>
      </c>
      <c r="F482" s="77">
        <f t="shared" ref="F482:F486" si="128">$E$8*E482</f>
        <v>69</v>
      </c>
      <c r="G482" s="8">
        <f t="shared" si="115"/>
        <v>60</v>
      </c>
      <c r="H482" s="8" t="str" cm="1">
        <f t="array" ref="H482">GetColorMatchValue(F482, $F$3:$F$10)</f>
        <v>cj</v>
      </c>
      <c r="I482" s="101" t="str">
        <f t="shared" ref="I482:I486" si="129">"&lt;tr data-section="""&amp;A481&amp;B481&amp;C481&amp;"""&gt;&lt;td&gt;"&amp;D481&amp;"&lt;/td&gt;&lt;td&gt;"&amp;G481&amp;"%&lt;/td&gt;&lt;td&gt;${percent("&amp;H481&amp;", "&amp;G481&amp;")}kg&lt;/td&gt;&lt;/tr&gt;"</f>
        <v>&lt;tr data-section="523"&gt;&lt;td&gt;Clean + Jerk&lt;/td&gt;&lt;td&gt;%&lt;/td&gt;&lt;td&gt;${percent(, )}kg&lt;/td&gt;&lt;/tr&gt;</v>
      </c>
      <c r="K482" s="62"/>
      <c r="L482" s="62"/>
      <c r="O482" s="45"/>
    </row>
    <row r="483" spans="1:15" ht="15" customHeight="1" x14ac:dyDescent="0.25">
      <c r="A483" s="8">
        <v>5</v>
      </c>
      <c r="B483" s="8">
        <v>2</v>
      </c>
      <c r="C483" s="8">
        <v>3</v>
      </c>
      <c r="D483" s="94" t="s">
        <v>230</v>
      </c>
      <c r="E483" s="7">
        <v>0.7</v>
      </c>
      <c r="F483" s="77">
        <f t="shared" si="128"/>
        <v>80.5</v>
      </c>
      <c r="G483" s="8">
        <f t="shared" si="115"/>
        <v>70</v>
      </c>
      <c r="H483" s="8" t="str" cm="1">
        <f t="array" ref="H483">GetColorMatchValue(F483, $F$3:$F$10)</f>
        <v>cj</v>
      </c>
      <c r="I483" s="101" t="str">
        <f t="shared" si="129"/>
        <v>&lt;tr data-section="523"&gt;&lt;td&gt;1 Set of 2 Cl. + 1 Jr.&lt;/td&gt;&lt;td&gt;60%&lt;/td&gt;&lt;td&gt;${percent(cj, 60)}kg&lt;/td&gt;&lt;/tr&gt;</v>
      </c>
      <c r="K483" s="62"/>
      <c r="L483" s="62"/>
      <c r="O483" s="45"/>
    </row>
    <row r="484" spans="1:15" ht="15" customHeight="1" x14ac:dyDescent="0.25">
      <c r="A484" s="8">
        <v>5</v>
      </c>
      <c r="B484" s="8">
        <v>2</v>
      </c>
      <c r="C484" s="8">
        <v>3</v>
      </c>
      <c r="D484" s="94" t="s">
        <v>230</v>
      </c>
      <c r="E484" s="7">
        <v>0.8</v>
      </c>
      <c r="F484" s="77">
        <f t="shared" si="128"/>
        <v>92</v>
      </c>
      <c r="G484" s="8">
        <f t="shared" si="115"/>
        <v>80</v>
      </c>
      <c r="H484" s="8" t="str" cm="1">
        <f t="array" ref="H484">GetColorMatchValue(F484, $F$3:$F$10)</f>
        <v>cj</v>
      </c>
      <c r="I484" s="101" t="str">
        <f t="shared" si="129"/>
        <v>&lt;tr data-section="523"&gt;&lt;td&gt;1 Set of 2 Cl. + 1 Jr.&lt;/td&gt;&lt;td&gt;70%&lt;/td&gt;&lt;td&gt;${percent(cj, 70)}kg&lt;/td&gt;&lt;/tr&gt;</v>
      </c>
      <c r="K484" s="62"/>
      <c r="L484" s="62"/>
      <c r="O484" s="45"/>
    </row>
    <row r="485" spans="1:15" ht="15" customHeight="1" x14ac:dyDescent="0.25">
      <c r="A485" s="8">
        <v>5</v>
      </c>
      <c r="B485" s="8">
        <v>2</v>
      </c>
      <c r="C485" s="8">
        <v>3</v>
      </c>
      <c r="D485" s="94" t="s">
        <v>230</v>
      </c>
      <c r="E485" s="7">
        <v>0.85</v>
      </c>
      <c r="F485" s="77">
        <f t="shared" si="128"/>
        <v>97.75</v>
      </c>
      <c r="G485" s="8">
        <f t="shared" si="115"/>
        <v>85</v>
      </c>
      <c r="H485" s="8" t="str" cm="1">
        <f t="array" ref="H485">GetColorMatchValue(F485, $F$3:$F$10)</f>
        <v>cj</v>
      </c>
      <c r="I485" s="101" t="str">
        <f t="shared" si="129"/>
        <v>&lt;tr data-section="523"&gt;&lt;td&gt;1 Set of 2 Cl. + 1 Jr.&lt;/td&gt;&lt;td&gt;80%&lt;/td&gt;&lt;td&gt;${percent(cj, 80)}kg&lt;/td&gt;&lt;/tr&gt;</v>
      </c>
      <c r="K485" s="62"/>
      <c r="L485" s="62"/>
      <c r="O485" s="45"/>
    </row>
    <row r="486" spans="1:15" ht="15" customHeight="1" x14ac:dyDescent="0.25">
      <c r="A486" s="8">
        <v>5</v>
      </c>
      <c r="B486" s="8">
        <v>2</v>
      </c>
      <c r="C486" s="8">
        <v>3</v>
      </c>
      <c r="D486" s="94" t="s">
        <v>229</v>
      </c>
      <c r="E486" s="7">
        <v>0.8</v>
      </c>
      <c r="F486" s="77">
        <f t="shared" si="128"/>
        <v>92</v>
      </c>
      <c r="G486" s="8">
        <f t="shared" si="115"/>
        <v>80</v>
      </c>
      <c r="H486" s="8" t="str" cm="1">
        <f t="array" ref="H486">GetColorMatchValue(F486, $F$3:$F$10)</f>
        <v>cj</v>
      </c>
      <c r="I486" s="101" t="str">
        <f t="shared" si="129"/>
        <v>&lt;tr data-section="523"&gt;&lt;td&gt;1 Set of 2 Cl. + 1 Jr.&lt;/td&gt;&lt;td&gt;85%&lt;/td&gt;&lt;td&gt;${percent(cj, 85)}kg&lt;/td&gt;&lt;/tr&gt;</v>
      </c>
      <c r="K486" s="62"/>
      <c r="L486" s="62"/>
      <c r="O486" s="45"/>
    </row>
    <row r="487" spans="1:15" ht="15" customHeight="1" x14ac:dyDescent="0.25">
      <c r="A487" s="8">
        <v>5</v>
      </c>
      <c r="B487" s="8">
        <v>2</v>
      </c>
      <c r="C487" s="8">
        <v>3</v>
      </c>
      <c r="D487" s="94"/>
      <c r="E487" s="8"/>
      <c r="F487" s="71"/>
      <c r="G487" s="8" t="str">
        <f t="shared" si="115"/>
        <v/>
      </c>
      <c r="H487" s="8" t="str" cm="1">
        <f t="array" ref="H487">GetColorMatchValue(F487, $F$3:$F$10)</f>
        <v/>
      </c>
      <c r="I487" s="96" t="s">
        <v>287</v>
      </c>
      <c r="K487" s="62"/>
      <c r="L487" s="62"/>
      <c r="O487" s="45"/>
    </row>
    <row r="488" spans="1:15" ht="15" customHeight="1" x14ac:dyDescent="0.25">
      <c r="A488" s="8">
        <v>5</v>
      </c>
      <c r="B488" s="8">
        <v>2</v>
      </c>
      <c r="C488" s="8">
        <v>4</v>
      </c>
      <c r="D488" s="93" t="s">
        <v>90</v>
      </c>
      <c r="E488" s="8"/>
      <c r="F488" s="71"/>
      <c r="G488" s="8" t="str">
        <f t="shared" si="115"/>
        <v/>
      </c>
      <c r="H488" s="8" t="str" cm="1">
        <f t="array" ref="H488">GetColorMatchValue(F488, $F$3:$F$10)</f>
        <v/>
      </c>
      <c r="I488" s="99" t="str">
        <f>"&lt;tr&gt;&lt;th colspan=""3""&gt;&lt;label&gt;"&amp;D487&amp;"&lt;input type=""checkbox"" class=""section-toggle"" data-section="""&amp;A487&amp;B487&amp;C487&amp;"""/&gt;&lt;/label&gt;&lt;/th&gt;&lt;/tr&gt;"</f>
        <v>&lt;tr&gt;&lt;th colspan="3"&gt;&lt;label&gt;&lt;input type="checkbox" class="section-toggle" data-section="523"/&gt;&lt;/label&gt;&lt;/th&gt;&lt;/tr&gt;</v>
      </c>
      <c r="K488" s="62"/>
      <c r="L488" s="62"/>
      <c r="O488" s="45"/>
    </row>
    <row r="489" spans="1:15" ht="15" customHeight="1" x14ac:dyDescent="0.25">
      <c r="A489" s="8">
        <v>5</v>
      </c>
      <c r="B489" s="8">
        <v>2</v>
      </c>
      <c r="C489" s="8">
        <v>4</v>
      </c>
      <c r="D489" s="94" t="s">
        <v>220</v>
      </c>
      <c r="E489" s="7">
        <v>0.8</v>
      </c>
      <c r="F489" s="73">
        <f t="shared" ref="F489:F494" si="130">$E$7*E489</f>
        <v>76</v>
      </c>
      <c r="G489" s="8">
        <f t="shared" si="115"/>
        <v>80</v>
      </c>
      <c r="H489" s="8" t="str" cm="1">
        <f t="array" ref="H489">GetColorMatchValue(F489, $F$3:$F$10)</f>
        <v>s</v>
      </c>
      <c r="I489" s="101" t="str">
        <f t="shared" ref="I489:I494" si="131">"&lt;tr data-section="""&amp;A488&amp;B488&amp;C488&amp;"""&gt;&lt;td&gt;"&amp;D488&amp;"&lt;/td&gt;&lt;td&gt;"&amp;G488&amp;"%&lt;/td&gt;&lt;td&gt;${percent("&amp;H488&amp;", "&amp;G488&amp;")}kg&lt;/td&gt;&lt;/tr&gt;"</f>
        <v>&lt;tr data-section="524"&gt;&lt;td&gt;Snatch Pull from Blocks Below the Knee &lt;/td&gt;&lt;td&gt;%&lt;/td&gt;&lt;td&gt;${percent(, )}kg&lt;/td&gt;&lt;/tr&gt;</v>
      </c>
      <c r="K489" s="62"/>
      <c r="L489" s="62"/>
      <c r="O489" s="45"/>
    </row>
    <row r="490" spans="1:15" ht="15" customHeight="1" x14ac:dyDescent="0.25">
      <c r="A490" s="8">
        <v>5</v>
      </c>
      <c r="B490" s="8">
        <v>2</v>
      </c>
      <c r="C490" s="8">
        <v>4</v>
      </c>
      <c r="D490" s="94" t="s">
        <v>213</v>
      </c>
      <c r="E490" s="7">
        <v>0.9</v>
      </c>
      <c r="F490" s="73">
        <f t="shared" si="130"/>
        <v>85.5</v>
      </c>
      <c r="G490" s="8">
        <f t="shared" si="115"/>
        <v>90</v>
      </c>
      <c r="H490" s="8" t="str" cm="1">
        <f t="array" ref="H490">GetColorMatchValue(F490, $F$3:$F$10)</f>
        <v>s</v>
      </c>
      <c r="I490" s="101" t="str">
        <f t="shared" si="131"/>
        <v>&lt;tr data-section="524"&gt;&lt;td&gt;1 Set of 4 Reps&lt;/td&gt;&lt;td&gt;80%&lt;/td&gt;&lt;td&gt;${percent(s, 80)}kg&lt;/td&gt;&lt;/tr&gt;</v>
      </c>
      <c r="K490" s="62"/>
      <c r="L490" s="62"/>
      <c r="O490" s="45"/>
    </row>
    <row r="491" spans="1:15" ht="15" customHeight="1" x14ac:dyDescent="0.25">
      <c r="A491" s="8">
        <v>5</v>
      </c>
      <c r="B491" s="8">
        <v>2</v>
      </c>
      <c r="C491" s="8">
        <v>4</v>
      </c>
      <c r="D491" s="94" t="s">
        <v>220</v>
      </c>
      <c r="E491" s="7">
        <v>0.8</v>
      </c>
      <c r="F491" s="73">
        <f t="shared" si="130"/>
        <v>76</v>
      </c>
      <c r="G491" s="8">
        <f t="shared" si="115"/>
        <v>80</v>
      </c>
      <c r="H491" s="8" t="str" cm="1">
        <f t="array" ref="H491">GetColorMatchValue(F491, $F$3:$F$10)</f>
        <v>s</v>
      </c>
      <c r="I491" s="101" t="str">
        <f t="shared" si="131"/>
        <v>&lt;tr data-section="524"&gt;&lt;td&gt;1 Set of 3 Reps&lt;/td&gt;&lt;td&gt;90%&lt;/td&gt;&lt;td&gt;${percent(s, 90)}kg&lt;/td&gt;&lt;/tr&gt;</v>
      </c>
      <c r="K491" s="62"/>
      <c r="L491" s="62"/>
      <c r="O491" s="45"/>
    </row>
    <row r="492" spans="1:15" ht="15" customHeight="1" x14ac:dyDescent="0.25">
      <c r="A492" s="8">
        <v>5</v>
      </c>
      <c r="B492" s="8">
        <v>2</v>
      </c>
      <c r="C492" s="8">
        <v>4</v>
      </c>
      <c r="D492" s="94" t="s">
        <v>213</v>
      </c>
      <c r="E492" s="7">
        <v>0.9</v>
      </c>
      <c r="F492" s="73">
        <f t="shared" si="130"/>
        <v>85.5</v>
      </c>
      <c r="G492" s="8">
        <f t="shared" si="115"/>
        <v>90</v>
      </c>
      <c r="H492" s="8" t="str" cm="1">
        <f t="array" ref="H492">GetColorMatchValue(F492, $F$3:$F$10)</f>
        <v>s</v>
      </c>
      <c r="I492" s="101" t="str">
        <f t="shared" si="131"/>
        <v>&lt;tr data-section="524"&gt;&lt;td&gt;1 Set of 4 Reps&lt;/td&gt;&lt;td&gt;80%&lt;/td&gt;&lt;td&gt;${percent(s, 80)}kg&lt;/td&gt;&lt;/tr&gt;</v>
      </c>
      <c r="K492" s="62"/>
      <c r="L492" s="62"/>
      <c r="O492" s="45"/>
    </row>
    <row r="493" spans="1:15" ht="15" customHeight="1" x14ac:dyDescent="0.25">
      <c r="A493" s="8">
        <v>5</v>
      </c>
      <c r="B493" s="8">
        <v>2</v>
      </c>
      <c r="C493" s="8">
        <v>4</v>
      </c>
      <c r="D493" s="94" t="s">
        <v>220</v>
      </c>
      <c r="E493" s="7">
        <v>0.8</v>
      </c>
      <c r="F493" s="73">
        <f t="shared" si="130"/>
        <v>76</v>
      </c>
      <c r="G493" s="8">
        <f t="shared" si="115"/>
        <v>80</v>
      </c>
      <c r="H493" s="8" t="str" cm="1">
        <f t="array" ref="H493">GetColorMatchValue(F493, $F$3:$F$10)</f>
        <v>s</v>
      </c>
      <c r="I493" s="101" t="str">
        <f t="shared" si="131"/>
        <v>&lt;tr data-section="524"&gt;&lt;td&gt;1 Set of 3 Reps&lt;/td&gt;&lt;td&gt;90%&lt;/td&gt;&lt;td&gt;${percent(s, 90)}kg&lt;/td&gt;&lt;/tr&gt;</v>
      </c>
      <c r="K493" s="62"/>
      <c r="L493" s="62"/>
      <c r="O493" s="45"/>
    </row>
    <row r="494" spans="1:15" ht="15" customHeight="1" x14ac:dyDescent="0.25">
      <c r="A494" s="8">
        <v>5</v>
      </c>
      <c r="B494" s="8">
        <v>2</v>
      </c>
      <c r="C494" s="8">
        <v>4</v>
      </c>
      <c r="D494" s="94" t="s">
        <v>213</v>
      </c>
      <c r="E494" s="7">
        <v>0.9</v>
      </c>
      <c r="F494" s="73">
        <f t="shared" si="130"/>
        <v>85.5</v>
      </c>
      <c r="G494" s="8">
        <f t="shared" ref="G494:G552" si="132">IF(ISNUMBER(E494), E494 * 100, "")</f>
        <v>90</v>
      </c>
      <c r="H494" s="8" t="str" cm="1">
        <f t="array" ref="H494">GetColorMatchValue(F494, $F$3:$F$10)</f>
        <v>s</v>
      </c>
      <c r="I494" s="101" t="str">
        <f t="shared" si="131"/>
        <v>&lt;tr data-section="524"&gt;&lt;td&gt;1 Set of 4 Reps&lt;/td&gt;&lt;td&gt;80%&lt;/td&gt;&lt;td&gt;${percent(s, 80)}kg&lt;/td&gt;&lt;/tr&gt;</v>
      </c>
      <c r="K494" s="62"/>
      <c r="L494" s="62"/>
      <c r="O494" s="45"/>
    </row>
    <row r="495" spans="1:15" ht="15" customHeight="1" x14ac:dyDescent="0.25">
      <c r="A495" s="8">
        <v>5</v>
      </c>
      <c r="B495" s="8">
        <v>2</v>
      </c>
      <c r="C495" s="8">
        <v>4</v>
      </c>
      <c r="D495" s="94"/>
      <c r="E495" s="8"/>
      <c r="F495" s="71"/>
      <c r="G495" s="8" t="str">
        <f t="shared" si="132"/>
        <v/>
      </c>
      <c r="H495" s="8" t="str" cm="1">
        <f t="array" ref="H495">GetColorMatchValue(F495, $F$3:$F$10)</f>
        <v/>
      </c>
      <c r="I495" s="96" t="s">
        <v>287</v>
      </c>
      <c r="K495" s="62"/>
      <c r="L495" s="62"/>
      <c r="O495" s="45"/>
    </row>
    <row r="496" spans="1:15" ht="15" customHeight="1" x14ac:dyDescent="0.25">
      <c r="A496" s="8">
        <v>5</v>
      </c>
      <c r="B496" s="8">
        <v>2</v>
      </c>
      <c r="C496" s="8">
        <v>5</v>
      </c>
      <c r="D496" s="93" t="s">
        <v>45</v>
      </c>
      <c r="E496" s="8"/>
      <c r="F496" s="71"/>
      <c r="G496" s="8" t="str">
        <f t="shared" si="132"/>
        <v/>
      </c>
      <c r="H496" s="8" t="str" cm="1">
        <f t="array" ref="H496">GetColorMatchValue(F496, $F$3:$F$10)</f>
        <v/>
      </c>
      <c r="I496" s="99" t="str">
        <f>"&lt;tr&gt;&lt;th colspan=""3""&gt;&lt;label&gt;"&amp;D495&amp;"&lt;input type=""checkbox"" class=""section-toggle"" data-section="""&amp;A495&amp;B495&amp;C495&amp;"""/&gt;&lt;/label&gt;&lt;/th&gt;&lt;/tr&gt;"</f>
        <v>&lt;tr&gt;&lt;th colspan="3"&gt;&lt;label&gt;&lt;input type="checkbox" class="section-toggle" data-section="524"/&gt;&lt;/label&gt;&lt;/th&gt;&lt;/tr&gt;</v>
      </c>
      <c r="K496" s="62"/>
      <c r="L496" s="62"/>
      <c r="O496" s="45"/>
    </row>
    <row r="497" spans="1:15" ht="15" customHeight="1" x14ac:dyDescent="0.25">
      <c r="A497" s="8">
        <v>5</v>
      </c>
      <c r="B497" s="8">
        <v>2</v>
      </c>
      <c r="C497" s="8">
        <v>5</v>
      </c>
      <c r="D497" s="94" t="s">
        <v>220</v>
      </c>
      <c r="E497" s="7">
        <v>0.6</v>
      </c>
      <c r="F497" s="76">
        <f t="shared" ref="F497:F501" si="133">$E$10*E497</f>
        <v>48</v>
      </c>
      <c r="G497" s="8">
        <f t="shared" si="132"/>
        <v>60</v>
      </c>
      <c r="H497" s="8" t="str" cm="1">
        <f t="array" ref="H497">GetColorMatchValue(F497, $F$3:$F$10)</f>
        <v>pp</v>
      </c>
      <c r="I497" s="101" t="str">
        <f t="shared" ref="I497:I501" si="134">"&lt;tr data-section="""&amp;A496&amp;B496&amp;C496&amp;"""&gt;&lt;td&gt;"&amp;D496&amp;"&lt;/td&gt;&lt;td&gt;"&amp;G496&amp;"%&lt;/td&gt;&lt;td&gt;${percent("&amp;H496&amp;", "&amp;G496&amp;")}kg&lt;/td&gt;&lt;/tr&gt;"</f>
        <v>&lt;tr data-section="525"&gt;&lt;td&gt;Behind the Neck Push Jerk&lt;/td&gt;&lt;td&gt;%&lt;/td&gt;&lt;td&gt;${percent(, )}kg&lt;/td&gt;&lt;/tr&gt;</v>
      </c>
      <c r="K497" s="62"/>
      <c r="L497" s="62"/>
      <c r="O497" s="45"/>
    </row>
    <row r="498" spans="1:15" ht="15" customHeight="1" x14ac:dyDescent="0.25">
      <c r="A498" s="8">
        <v>5</v>
      </c>
      <c r="B498" s="8">
        <v>2</v>
      </c>
      <c r="C498" s="8">
        <v>5</v>
      </c>
      <c r="D498" s="94" t="s">
        <v>220</v>
      </c>
      <c r="E498" s="7">
        <v>0.7</v>
      </c>
      <c r="F498" s="76">
        <f t="shared" si="133"/>
        <v>56</v>
      </c>
      <c r="G498" s="8">
        <f t="shared" si="132"/>
        <v>70</v>
      </c>
      <c r="H498" s="8" t="str" cm="1">
        <f t="array" ref="H498">GetColorMatchValue(F498, $F$3:$F$10)</f>
        <v>pp</v>
      </c>
      <c r="I498" s="101" t="str">
        <f t="shared" si="134"/>
        <v>&lt;tr data-section="525"&gt;&lt;td&gt;1 Set of 4 Reps&lt;/td&gt;&lt;td&gt;60%&lt;/td&gt;&lt;td&gt;${percent(pp, 60)}kg&lt;/td&gt;&lt;/tr&gt;</v>
      </c>
      <c r="K498" s="62"/>
      <c r="L498" s="62"/>
      <c r="O498" s="45"/>
    </row>
    <row r="499" spans="1:15" ht="15" customHeight="1" x14ac:dyDescent="0.25">
      <c r="A499" s="8">
        <v>5</v>
      </c>
      <c r="B499" s="8">
        <v>2</v>
      </c>
      <c r="C499" s="8">
        <v>5</v>
      </c>
      <c r="D499" s="94" t="s">
        <v>212</v>
      </c>
      <c r="E499" s="7">
        <v>0.75</v>
      </c>
      <c r="F499" s="76">
        <f t="shared" si="133"/>
        <v>60</v>
      </c>
      <c r="G499" s="8">
        <f t="shared" si="132"/>
        <v>75</v>
      </c>
      <c r="H499" s="8" t="str" cm="1">
        <f t="array" ref="H499">GetColorMatchValue(F499, $F$3:$F$10)</f>
        <v>pp</v>
      </c>
      <c r="I499" s="101" t="str">
        <f t="shared" si="134"/>
        <v>&lt;tr data-section="525"&gt;&lt;td&gt;1 Set of 4 Reps&lt;/td&gt;&lt;td&gt;70%&lt;/td&gt;&lt;td&gt;${percent(pp, 70)}kg&lt;/td&gt;&lt;/tr&gt;</v>
      </c>
      <c r="K499" s="62"/>
      <c r="L499" s="62"/>
      <c r="O499" s="45"/>
    </row>
    <row r="500" spans="1:15" ht="15" customHeight="1" x14ac:dyDescent="0.25">
      <c r="A500" s="8">
        <v>5</v>
      </c>
      <c r="B500" s="8">
        <v>2</v>
      </c>
      <c r="C500" s="8">
        <v>5</v>
      </c>
      <c r="D500" s="94" t="s">
        <v>220</v>
      </c>
      <c r="E500" s="7">
        <v>0.6</v>
      </c>
      <c r="F500" s="76">
        <f t="shared" si="133"/>
        <v>48</v>
      </c>
      <c r="G500" s="8">
        <f t="shared" si="132"/>
        <v>60</v>
      </c>
      <c r="H500" s="8" t="str" cm="1">
        <f t="array" ref="H500">GetColorMatchValue(F500, $F$3:$F$10)</f>
        <v>pp</v>
      </c>
      <c r="I500" s="101" t="str">
        <f t="shared" si="134"/>
        <v>&lt;tr data-section="525"&gt;&lt;td&gt;1 Set of 1 Rep&lt;/td&gt;&lt;td&gt;75%&lt;/td&gt;&lt;td&gt;${percent(pp, 75)}kg&lt;/td&gt;&lt;/tr&gt;</v>
      </c>
      <c r="K500" s="62"/>
      <c r="L500" s="62"/>
      <c r="O500" s="45"/>
    </row>
    <row r="501" spans="1:15" ht="15" customHeight="1" x14ac:dyDescent="0.25">
      <c r="A501" s="8">
        <v>5</v>
      </c>
      <c r="B501" s="8">
        <v>2</v>
      </c>
      <c r="C501" s="8">
        <v>5</v>
      </c>
      <c r="D501" s="94" t="s">
        <v>213</v>
      </c>
      <c r="E501" s="7">
        <v>0.7</v>
      </c>
      <c r="F501" s="76">
        <f t="shared" si="133"/>
        <v>56</v>
      </c>
      <c r="G501" s="8">
        <f t="shared" si="132"/>
        <v>70</v>
      </c>
      <c r="H501" s="8" t="str" cm="1">
        <f t="array" ref="H501">GetColorMatchValue(F501, $F$3:$F$10)</f>
        <v>pp</v>
      </c>
      <c r="I501" s="101" t="str">
        <f t="shared" si="134"/>
        <v>&lt;tr data-section="525"&gt;&lt;td&gt;1 Set of 4 Reps&lt;/td&gt;&lt;td&gt;60%&lt;/td&gt;&lt;td&gt;${percent(pp, 60)}kg&lt;/td&gt;&lt;/tr&gt;</v>
      </c>
      <c r="K501" s="62"/>
      <c r="L501" s="62"/>
      <c r="O501" s="45"/>
    </row>
    <row r="502" spans="1:15" ht="15" customHeight="1" x14ac:dyDescent="0.25">
      <c r="A502" s="8">
        <v>5</v>
      </c>
      <c r="B502" s="8">
        <v>2</v>
      </c>
      <c r="C502" s="8">
        <v>5</v>
      </c>
      <c r="D502" s="94"/>
      <c r="E502" s="8"/>
      <c r="F502" s="71"/>
      <c r="G502" s="8" t="str">
        <f t="shared" si="132"/>
        <v/>
      </c>
      <c r="H502" s="8" t="str" cm="1">
        <f t="array" ref="H502">GetColorMatchValue(F502, $F$3:$F$10)</f>
        <v/>
      </c>
      <c r="I502" s="96" t="s">
        <v>287</v>
      </c>
      <c r="K502" s="62"/>
      <c r="L502" s="62"/>
      <c r="O502" s="45"/>
    </row>
    <row r="503" spans="1:15" ht="15" customHeight="1" x14ac:dyDescent="0.25">
      <c r="A503" s="8">
        <v>5</v>
      </c>
      <c r="B503" s="8">
        <v>2</v>
      </c>
      <c r="C503" s="8">
        <v>6</v>
      </c>
      <c r="D503" s="93" t="s">
        <v>47</v>
      </c>
      <c r="E503" s="8"/>
      <c r="F503" s="71"/>
      <c r="G503" s="8" t="str">
        <f t="shared" si="132"/>
        <v/>
      </c>
      <c r="H503" s="8" t="str" cm="1">
        <f t="array" ref="H503">GetColorMatchValue(F503, $F$3:$F$10)</f>
        <v/>
      </c>
      <c r="I503" s="99" t="str">
        <f>"&lt;tr&gt;&lt;th colspan=""3""&gt;&lt;label&gt;"&amp;D502&amp;"&lt;input type=""checkbox"" class=""section-toggle"" data-section="""&amp;A502&amp;B502&amp;C502&amp;"""/&gt;&lt;/label&gt;&lt;/th&gt;&lt;/tr&gt;"</f>
        <v>&lt;tr&gt;&lt;th colspan="3"&gt;&lt;label&gt;&lt;input type="checkbox" class="section-toggle" data-section="525"/&gt;&lt;/label&gt;&lt;/th&gt;&lt;/tr&gt;</v>
      </c>
      <c r="K503" s="62"/>
      <c r="L503" s="62"/>
      <c r="O503" s="45"/>
    </row>
    <row r="504" spans="1:15" ht="15" customHeight="1" x14ac:dyDescent="0.25">
      <c r="A504" s="95">
        <v>5</v>
      </c>
      <c r="B504" s="95">
        <v>2</v>
      </c>
      <c r="C504" s="8">
        <v>6</v>
      </c>
      <c r="D504" s="94" t="s">
        <v>202</v>
      </c>
      <c r="E504" s="94" t="s">
        <v>197</v>
      </c>
      <c r="F504" s="71"/>
      <c r="G504" s="8" t="str">
        <f t="shared" si="132"/>
        <v/>
      </c>
      <c r="H504" s="8" t="str" cm="1">
        <f t="array" ref="H504">GetColorMatchValue(F504, $F$3:$F$10)</f>
        <v/>
      </c>
      <c r="I504" s="104" t="str">
        <f>"&lt;tr data-section="""&amp;A503&amp;B503&amp;C503&amp;"""&gt;&lt;td colspan=""3""&gt;"&amp;D503&amp;" "&amp;E503&amp;"&lt;/td&gt;&lt;/tr&gt;"</f>
        <v>&lt;tr data-section="526"&gt;&lt;td colspan="3"&gt;Press &lt;/td&gt;&lt;/tr&gt;</v>
      </c>
      <c r="K504" s="62"/>
      <c r="L504" s="62"/>
      <c r="O504" s="45"/>
    </row>
    <row r="505" spans="1:15" ht="15" customHeight="1" x14ac:dyDescent="0.25">
      <c r="A505" s="8">
        <v>5</v>
      </c>
      <c r="B505" s="8">
        <v>3</v>
      </c>
      <c r="C505" s="8">
        <v>1</v>
      </c>
      <c r="D505" s="93" t="s">
        <v>0</v>
      </c>
      <c r="E505" s="8"/>
      <c r="F505" s="71"/>
      <c r="G505" s="8" t="str">
        <f t="shared" si="132"/>
        <v/>
      </c>
      <c r="H505" s="8" t="str" cm="1">
        <f t="array" ref="H505">GetColorMatchValue(F505, $F$3:$F$10)</f>
        <v/>
      </c>
      <c r="I505" s="99" t="str">
        <f>"&lt;tr&gt;&lt;th colspan=""3""&gt;&lt;label&gt;"&amp;D504&amp;"&lt;input type=""checkbox"" class=""section-toggle"" data-section="""&amp;A504&amp;B504&amp;C504&amp;"""/&gt;&lt;/label&gt;&lt;/th&gt;&lt;/tr&gt;"</f>
        <v>&lt;tr&gt;&lt;th colspan="3"&gt;&lt;label&gt;4 Sets of 4 Reps&lt;input type="checkbox" class="section-toggle" data-section="526"/&gt;&lt;/label&gt;&lt;/th&gt;&lt;/tr&gt;</v>
      </c>
      <c r="L505" s="45"/>
      <c r="O505" s="45"/>
    </row>
    <row r="506" spans="1:15" ht="15" customHeight="1" x14ac:dyDescent="0.25">
      <c r="A506" s="8">
        <v>5</v>
      </c>
      <c r="B506" s="8">
        <v>3</v>
      </c>
      <c r="C506" s="8">
        <v>1</v>
      </c>
      <c r="D506" s="94" t="s">
        <v>213</v>
      </c>
      <c r="E506" s="7">
        <v>0.6</v>
      </c>
      <c r="F506" s="72">
        <f>$E$3*E506</f>
        <v>120</v>
      </c>
      <c r="G506" s="8">
        <f t="shared" si="132"/>
        <v>60</v>
      </c>
      <c r="H506" s="8" t="str" cm="1">
        <f t="array" ref="H506">GetColorMatchValue(F506, $F$3:$F$10)</f>
        <v>bs</v>
      </c>
      <c r="I506" s="101" t="str">
        <f t="shared" ref="I506:I508" si="135">"&lt;tr data-section="""&amp;A505&amp;B505&amp;C505&amp;"""&gt;&lt;td&gt;"&amp;D505&amp;"&lt;/td&gt;&lt;td&gt;"&amp;G505&amp;"%&lt;/td&gt;&lt;td&gt;${percent("&amp;H505&amp;", "&amp;G505&amp;")}kg&lt;/td&gt;&lt;/tr&gt;"</f>
        <v>&lt;tr data-section="531"&gt;&lt;td&gt;Back Squat&lt;/td&gt;&lt;td&gt;%&lt;/td&gt;&lt;td&gt;${percent(, )}kg&lt;/td&gt;&lt;/tr&gt;</v>
      </c>
      <c r="L506" s="45"/>
      <c r="O506" s="45"/>
    </row>
    <row r="507" spans="1:15" ht="15" customHeight="1" x14ac:dyDescent="0.25">
      <c r="A507" s="8">
        <v>5</v>
      </c>
      <c r="B507" s="8">
        <v>3</v>
      </c>
      <c r="C507" s="8">
        <v>1</v>
      </c>
      <c r="D507" s="94" t="s">
        <v>213</v>
      </c>
      <c r="E507" s="7">
        <v>0.7</v>
      </c>
      <c r="F507" s="72">
        <f>$E$3*E507</f>
        <v>140</v>
      </c>
      <c r="G507" s="8">
        <f t="shared" si="132"/>
        <v>70</v>
      </c>
      <c r="H507" s="8" t="str" cm="1">
        <f t="array" ref="H507">GetColorMatchValue(F507, $F$3:$F$10)</f>
        <v>bs</v>
      </c>
      <c r="I507" s="101" t="str">
        <f t="shared" si="135"/>
        <v>&lt;tr data-section="531"&gt;&lt;td&gt;1 Set of 3 Reps&lt;/td&gt;&lt;td&gt;60%&lt;/td&gt;&lt;td&gt;${percent(bs, 60)}kg&lt;/td&gt;&lt;/tr&gt;</v>
      </c>
      <c r="L507" s="45"/>
      <c r="O507" s="45"/>
    </row>
    <row r="508" spans="1:15" ht="15" customHeight="1" x14ac:dyDescent="0.25">
      <c r="A508" s="8">
        <v>5</v>
      </c>
      <c r="B508" s="8">
        <v>3</v>
      </c>
      <c r="C508" s="8">
        <v>1</v>
      </c>
      <c r="D508" s="94" t="s">
        <v>242</v>
      </c>
      <c r="E508" s="7">
        <v>0.8</v>
      </c>
      <c r="F508" s="72">
        <f>$E$3*E508</f>
        <v>160</v>
      </c>
      <c r="G508" s="8">
        <f t="shared" si="132"/>
        <v>80</v>
      </c>
      <c r="H508" s="8" t="str" cm="1">
        <f t="array" ref="H508">GetColorMatchValue(F508, $F$3:$F$10)</f>
        <v>bs</v>
      </c>
      <c r="I508" s="101" t="str">
        <f t="shared" si="135"/>
        <v>&lt;tr data-section="531"&gt;&lt;td&gt;1 Set of 3 Reps&lt;/td&gt;&lt;td&gt;70%&lt;/td&gt;&lt;td&gt;${percent(bs, 70)}kg&lt;/td&gt;&lt;/tr&gt;</v>
      </c>
      <c r="L508" s="45"/>
      <c r="O508" s="45"/>
    </row>
    <row r="509" spans="1:15" ht="15" customHeight="1" x14ac:dyDescent="0.25">
      <c r="A509" s="8">
        <v>5</v>
      </c>
      <c r="B509" s="8">
        <v>3</v>
      </c>
      <c r="C509" s="8">
        <v>1</v>
      </c>
      <c r="D509" s="94"/>
      <c r="E509" s="8"/>
      <c r="F509" s="71"/>
      <c r="G509" s="8" t="str">
        <f t="shared" si="132"/>
        <v/>
      </c>
      <c r="H509" s="8" t="str" cm="1">
        <f t="array" ref="H509">GetColorMatchValue(F509, $F$3:$F$10)</f>
        <v/>
      </c>
      <c r="I509" s="96" t="s">
        <v>287</v>
      </c>
      <c r="L509" s="45"/>
      <c r="O509" s="45"/>
    </row>
    <row r="510" spans="1:15" ht="15" customHeight="1" x14ac:dyDescent="0.25">
      <c r="A510" s="8">
        <v>5</v>
      </c>
      <c r="B510" s="8">
        <v>3</v>
      </c>
      <c r="C510" s="8">
        <v>2</v>
      </c>
      <c r="D510" s="93" t="s">
        <v>38</v>
      </c>
      <c r="E510" s="8"/>
      <c r="F510" s="71"/>
      <c r="G510" s="8" t="str">
        <f t="shared" si="132"/>
        <v/>
      </c>
      <c r="H510" s="8" t="str" cm="1">
        <f t="array" ref="H510">GetColorMatchValue(F510, $F$3:$F$10)</f>
        <v/>
      </c>
      <c r="I510" s="99" t="str">
        <f>"&lt;tr&gt;&lt;th colspan=""3""&gt;&lt;label&gt;"&amp;D509&amp;"&lt;input type=""checkbox"" class=""section-toggle"" data-section="""&amp;A509&amp;B509&amp;C509&amp;"""/&gt;&lt;/label&gt;&lt;/th&gt;&lt;/tr&gt;"</f>
        <v>&lt;tr&gt;&lt;th colspan="3"&gt;&lt;label&gt;&lt;input type="checkbox" class="section-toggle" data-section="531"/&gt;&lt;/label&gt;&lt;/th&gt;&lt;/tr&gt;</v>
      </c>
      <c r="L510" s="45"/>
      <c r="O510" s="45"/>
    </row>
    <row r="511" spans="1:15" ht="15" customHeight="1" x14ac:dyDescent="0.25">
      <c r="A511" s="8">
        <v>5</v>
      </c>
      <c r="B511" s="8">
        <v>3</v>
      </c>
      <c r="C511" s="8">
        <v>2</v>
      </c>
      <c r="D511" s="94" t="s">
        <v>266</v>
      </c>
      <c r="E511" s="7">
        <v>0.6</v>
      </c>
      <c r="F511" s="74">
        <f t="shared" ref="F511:F514" si="136">$E$5*E511</f>
        <v>54</v>
      </c>
      <c r="G511" s="8">
        <f t="shared" si="132"/>
        <v>60</v>
      </c>
      <c r="H511" s="8" t="str" cm="1">
        <f t="array" ref="H511">GetColorMatchValue(F511, $F$3:$F$10)</f>
        <v>os</v>
      </c>
      <c r="I511" s="101" t="str">
        <f t="shared" ref="I511:I514" si="137">"&lt;tr data-section="""&amp;A510&amp;B510&amp;C510&amp;"""&gt;&lt;td&gt;"&amp;D510&amp;"&lt;/td&gt;&lt;td&gt;"&amp;G510&amp;"%&lt;/td&gt;&lt;td&gt;${percent("&amp;H510&amp;", "&amp;G510&amp;")}kg&lt;/td&gt;&lt;/tr&gt;"</f>
        <v>&lt;tr data-section="532"&gt;&lt;td&gt;Power Snatch + Behind the Neck Snatch Grip Push Press + Overhead Squat&lt;/td&gt;&lt;td&gt;%&lt;/td&gt;&lt;td&gt;${percent(, )}kg&lt;/td&gt;&lt;/tr&gt;</v>
      </c>
      <c r="L511" s="45"/>
      <c r="O511" s="45"/>
    </row>
    <row r="512" spans="1:15" ht="15" customHeight="1" x14ac:dyDescent="0.25">
      <c r="A512" s="8">
        <v>5</v>
      </c>
      <c r="B512" s="8">
        <v>3</v>
      </c>
      <c r="C512" s="8">
        <v>2</v>
      </c>
      <c r="D512" s="94" t="s">
        <v>265</v>
      </c>
      <c r="E512" s="7">
        <v>0.7</v>
      </c>
      <c r="F512" s="74">
        <f t="shared" si="136"/>
        <v>62.999999999999993</v>
      </c>
      <c r="G512" s="8">
        <f t="shared" si="132"/>
        <v>70</v>
      </c>
      <c r="H512" s="8" t="str" cm="1">
        <f t="array" ref="H512">GetColorMatchValue(F512, $F$3:$F$10)</f>
        <v>os</v>
      </c>
      <c r="I512" s="101" t="str">
        <f t="shared" si="137"/>
        <v>&lt;tr data-section="532"&gt;&lt;td&gt;1 Set of 3 P.Sn. + 3 B.N.Sn.Gr.P.Pr. + 3 Oh.S.&lt;/td&gt;&lt;td&gt;60%&lt;/td&gt;&lt;td&gt;${percent(os, 60)}kg&lt;/td&gt;&lt;/tr&gt;</v>
      </c>
      <c r="L512" s="45"/>
      <c r="O512" s="45"/>
    </row>
    <row r="513" spans="1:15" ht="15" customHeight="1" x14ac:dyDescent="0.25">
      <c r="A513" s="8">
        <v>5</v>
      </c>
      <c r="B513" s="8">
        <v>3</v>
      </c>
      <c r="C513" s="8">
        <v>2</v>
      </c>
      <c r="D513" s="94" t="s">
        <v>266</v>
      </c>
      <c r="E513" s="7">
        <v>0.6</v>
      </c>
      <c r="F513" s="74">
        <f t="shared" si="136"/>
        <v>54</v>
      </c>
      <c r="G513" s="8">
        <f t="shared" si="132"/>
        <v>60</v>
      </c>
      <c r="H513" s="8" t="str" cm="1">
        <f t="array" ref="H513">GetColorMatchValue(F513, $F$3:$F$10)</f>
        <v>os</v>
      </c>
      <c r="I513" s="101" t="str">
        <f t="shared" si="137"/>
        <v>&lt;tr data-section="532"&gt;&lt;td&gt;1 Set of 3 P.Sn. + 3 B.N.Sn.Gr.P.Pr. + 2 Oh.S.&lt;/td&gt;&lt;td&gt;70%&lt;/td&gt;&lt;td&gt;${percent(os, 70)}kg&lt;/td&gt;&lt;/tr&gt;</v>
      </c>
      <c r="L513" s="45"/>
      <c r="O513" s="45"/>
    </row>
    <row r="514" spans="1:15" ht="15" customHeight="1" x14ac:dyDescent="0.25">
      <c r="A514" s="8">
        <v>5</v>
      </c>
      <c r="B514" s="8">
        <v>3</v>
      </c>
      <c r="C514" s="8">
        <v>2</v>
      </c>
      <c r="D514" s="94" t="s">
        <v>265</v>
      </c>
      <c r="E514" s="7">
        <v>0.7</v>
      </c>
      <c r="F514" s="74">
        <f t="shared" si="136"/>
        <v>62.999999999999993</v>
      </c>
      <c r="G514" s="8">
        <f t="shared" si="132"/>
        <v>70</v>
      </c>
      <c r="H514" s="8" t="str" cm="1">
        <f t="array" ref="H514">GetColorMatchValue(F514, $F$3:$F$10)</f>
        <v>os</v>
      </c>
      <c r="I514" s="101" t="str">
        <f t="shared" si="137"/>
        <v>&lt;tr data-section="532"&gt;&lt;td&gt;1 Set of 3 P.Sn. + 3 B.N.Sn.Gr.P.Pr. + 3 Oh.S.&lt;/td&gt;&lt;td&gt;60%&lt;/td&gt;&lt;td&gt;${percent(os, 60)}kg&lt;/td&gt;&lt;/tr&gt;</v>
      </c>
      <c r="L514" s="45"/>
      <c r="O514" s="45"/>
    </row>
    <row r="515" spans="1:15" ht="15" customHeight="1" x14ac:dyDescent="0.25">
      <c r="A515" s="8">
        <v>5</v>
      </c>
      <c r="B515" s="8">
        <v>3</v>
      </c>
      <c r="C515" s="8">
        <v>2</v>
      </c>
      <c r="D515" s="94"/>
      <c r="E515" s="8"/>
      <c r="F515" s="71"/>
      <c r="G515" s="8" t="str">
        <f t="shared" si="132"/>
        <v/>
      </c>
      <c r="H515" s="8" t="str" cm="1">
        <f t="array" ref="H515">GetColorMatchValue(F515, $F$3:$F$10)</f>
        <v/>
      </c>
      <c r="I515" s="96" t="s">
        <v>287</v>
      </c>
      <c r="L515" s="45"/>
      <c r="O515" s="45"/>
    </row>
    <row r="516" spans="1:15" ht="15" customHeight="1" x14ac:dyDescent="0.25">
      <c r="A516" s="8">
        <v>5</v>
      </c>
      <c r="B516" s="8">
        <v>3</v>
      </c>
      <c r="C516" s="8">
        <v>3</v>
      </c>
      <c r="D516" s="93" t="s">
        <v>73</v>
      </c>
      <c r="E516" s="8"/>
      <c r="F516" s="71"/>
      <c r="G516" s="8" t="str">
        <f t="shared" si="132"/>
        <v/>
      </c>
      <c r="H516" s="8" t="str" cm="1">
        <f t="array" ref="H516">GetColorMatchValue(F516, $F$3:$F$10)</f>
        <v/>
      </c>
      <c r="I516" s="99" t="str">
        <f>"&lt;tr&gt;&lt;th colspan=""3""&gt;&lt;label&gt;"&amp;D515&amp;"&lt;input type=""checkbox"" class=""section-toggle"" data-section="""&amp;A515&amp;B515&amp;C515&amp;"""/&gt;&lt;/label&gt;&lt;/th&gt;&lt;/tr&gt;"</f>
        <v>&lt;tr&gt;&lt;th colspan="3"&gt;&lt;label&gt;&lt;input type="checkbox" class="section-toggle" data-section="532"/&gt;&lt;/label&gt;&lt;/th&gt;&lt;/tr&gt;</v>
      </c>
      <c r="L516" s="45"/>
      <c r="O516" s="45"/>
    </row>
    <row r="517" spans="1:15" ht="15" customHeight="1" x14ac:dyDescent="0.25">
      <c r="A517" s="8">
        <v>5</v>
      </c>
      <c r="B517" s="8">
        <v>3</v>
      </c>
      <c r="C517" s="8">
        <v>3</v>
      </c>
      <c r="D517" s="94" t="s">
        <v>264</v>
      </c>
      <c r="E517" s="7">
        <v>0.6</v>
      </c>
      <c r="F517" s="77">
        <f t="shared" ref="F517:F520" si="138">$E$8*E517</f>
        <v>69</v>
      </c>
      <c r="G517" s="8">
        <f t="shared" si="132"/>
        <v>60</v>
      </c>
      <c r="H517" s="8" t="str" cm="1">
        <f t="array" ref="H517">GetColorMatchValue(F517, $F$3:$F$10)</f>
        <v>cj</v>
      </c>
      <c r="I517" s="101" t="str">
        <f t="shared" ref="I517:I520" si="139">"&lt;tr data-section="""&amp;A516&amp;B516&amp;C516&amp;"""&gt;&lt;td&gt;"&amp;D516&amp;"&lt;/td&gt;&lt;td&gt;"&amp;G516&amp;"%&lt;/td&gt;&lt;td&gt;${percent("&amp;H516&amp;", "&amp;G516&amp;")}kg&lt;/td&gt;&lt;/tr&gt;"</f>
        <v>&lt;tr data-section="533"&gt;&lt;td&gt;Power Clean + Front Squat + Push Jerk&lt;/td&gt;&lt;td&gt;%&lt;/td&gt;&lt;td&gt;${percent(, )}kg&lt;/td&gt;&lt;/tr&gt;</v>
      </c>
      <c r="L517" s="45"/>
      <c r="O517" s="45"/>
    </row>
    <row r="518" spans="1:15" ht="15" customHeight="1" x14ac:dyDescent="0.25">
      <c r="A518" s="8">
        <v>5</v>
      </c>
      <c r="B518" s="8">
        <v>3</v>
      </c>
      <c r="C518" s="8">
        <v>3</v>
      </c>
      <c r="D518" s="94" t="s">
        <v>263</v>
      </c>
      <c r="E518" s="7">
        <v>0.7</v>
      </c>
      <c r="F518" s="77">
        <f t="shared" si="138"/>
        <v>80.5</v>
      </c>
      <c r="G518" s="8">
        <f t="shared" si="132"/>
        <v>70</v>
      </c>
      <c r="H518" s="8" t="str" cm="1">
        <f t="array" ref="H518">GetColorMatchValue(F518, $F$3:$F$10)</f>
        <v>cj</v>
      </c>
      <c r="I518" s="101" t="str">
        <f t="shared" si="139"/>
        <v>&lt;tr data-section="533"&gt;&lt;td&gt;1 Set of 3 P.Cl. + 3 F.S. + 3 P.Jr.&lt;/td&gt;&lt;td&gt;60%&lt;/td&gt;&lt;td&gt;${percent(cj, 60)}kg&lt;/td&gt;&lt;/tr&gt;</v>
      </c>
      <c r="L518" s="45"/>
      <c r="O518" s="45"/>
    </row>
    <row r="519" spans="1:15" ht="15" customHeight="1" x14ac:dyDescent="0.25">
      <c r="A519" s="8">
        <v>5</v>
      </c>
      <c r="B519" s="8">
        <v>3</v>
      </c>
      <c r="C519" s="8">
        <v>3</v>
      </c>
      <c r="D519" s="94" t="s">
        <v>264</v>
      </c>
      <c r="E519" s="7">
        <v>0.6</v>
      </c>
      <c r="F519" s="77">
        <f t="shared" si="138"/>
        <v>69</v>
      </c>
      <c r="G519" s="8">
        <f t="shared" si="132"/>
        <v>60</v>
      </c>
      <c r="H519" s="8" t="str" cm="1">
        <f t="array" ref="H519">GetColorMatchValue(F519, $F$3:$F$10)</f>
        <v>cj</v>
      </c>
      <c r="I519" s="101" t="str">
        <f t="shared" si="139"/>
        <v>&lt;tr data-section="533"&gt;&lt;td&gt;1 Set of 3 P.Cl. + 3 F.S. + 2 P.Jr.&lt;/td&gt;&lt;td&gt;70%&lt;/td&gt;&lt;td&gt;${percent(cj, 70)}kg&lt;/td&gt;&lt;/tr&gt;</v>
      </c>
      <c r="L519" s="45"/>
      <c r="O519" s="45"/>
    </row>
    <row r="520" spans="1:15" ht="15" customHeight="1" x14ac:dyDescent="0.25">
      <c r="A520" s="8">
        <v>5</v>
      </c>
      <c r="B520" s="8">
        <v>3</v>
      </c>
      <c r="C520" s="8">
        <v>3</v>
      </c>
      <c r="D520" s="94" t="s">
        <v>263</v>
      </c>
      <c r="E520" s="7">
        <v>0.7</v>
      </c>
      <c r="F520" s="77">
        <f t="shared" si="138"/>
        <v>80.5</v>
      </c>
      <c r="G520" s="8">
        <f t="shared" si="132"/>
        <v>70</v>
      </c>
      <c r="H520" s="8" t="str" cm="1">
        <f t="array" ref="H520">GetColorMatchValue(F520, $F$3:$F$10)</f>
        <v>cj</v>
      </c>
      <c r="I520" s="101" t="str">
        <f t="shared" si="139"/>
        <v>&lt;tr data-section="533"&gt;&lt;td&gt;1 Set of 3 P.Cl. + 3 F.S. + 3 P.Jr.&lt;/td&gt;&lt;td&gt;60%&lt;/td&gt;&lt;td&gt;${percent(cj, 60)}kg&lt;/td&gt;&lt;/tr&gt;</v>
      </c>
      <c r="L520" s="45"/>
      <c r="O520" s="45"/>
    </row>
    <row r="521" spans="1:15" ht="15" customHeight="1" x14ac:dyDescent="0.25">
      <c r="A521" s="8">
        <v>5</v>
      </c>
      <c r="B521" s="8">
        <v>4</v>
      </c>
      <c r="C521" s="8">
        <v>1</v>
      </c>
      <c r="D521" s="93" t="s">
        <v>0</v>
      </c>
      <c r="E521" s="8"/>
      <c r="F521" s="71"/>
      <c r="G521" s="8" t="str">
        <f t="shared" si="132"/>
        <v/>
      </c>
      <c r="H521" s="8" t="str" cm="1">
        <f t="array" ref="H521">GetColorMatchValue(F521, $F$3:$F$10)</f>
        <v/>
      </c>
      <c r="I521" s="99" t="str">
        <f>"&lt;tr&gt;&lt;th colspan=""3""&gt;&lt;label&gt;"&amp;D520&amp;"&lt;input type=""checkbox"" class=""section-toggle"" data-section="""&amp;A520&amp;B520&amp;C520&amp;"""/&gt;&lt;/label&gt;&lt;/th&gt;&lt;/tr&gt;"</f>
        <v>&lt;tr&gt;&lt;th colspan="3"&gt;&lt;label&gt;1 Set of 3 P.Cl. + 3 F.S. + 2 P.Jr.&lt;input type="checkbox" class="section-toggle" data-section="533"/&gt;&lt;/label&gt;&lt;/th&gt;&lt;/tr&gt;</v>
      </c>
      <c r="L521" s="45"/>
      <c r="O521" s="45"/>
    </row>
    <row r="522" spans="1:15" ht="15" customHeight="1" x14ac:dyDescent="0.25">
      <c r="A522" s="8">
        <v>5</v>
      </c>
      <c r="B522" s="8">
        <v>4</v>
      </c>
      <c r="C522" s="8">
        <v>1</v>
      </c>
      <c r="D522" s="94" t="s">
        <v>220</v>
      </c>
      <c r="E522" s="7">
        <v>0.6</v>
      </c>
      <c r="F522" s="72">
        <f>$E$3*E522</f>
        <v>120</v>
      </c>
      <c r="G522" s="8">
        <f t="shared" si="132"/>
        <v>60</v>
      </c>
      <c r="H522" s="8" t="str" cm="1">
        <f t="array" ref="H522">GetColorMatchValue(F522, $F$3:$F$10)</f>
        <v>bs</v>
      </c>
      <c r="I522" s="101" t="str">
        <f t="shared" ref="I522:I524" si="140">"&lt;tr data-section="""&amp;A521&amp;B521&amp;C521&amp;"""&gt;&lt;td&gt;"&amp;D521&amp;"&lt;/td&gt;&lt;td&gt;"&amp;G521&amp;"%&lt;/td&gt;&lt;td&gt;${percent("&amp;H521&amp;", "&amp;G521&amp;")}kg&lt;/td&gt;&lt;/tr&gt;"</f>
        <v>&lt;tr data-section="541"&gt;&lt;td&gt;Back Squat&lt;/td&gt;&lt;td&gt;%&lt;/td&gt;&lt;td&gt;${percent(, )}kg&lt;/td&gt;&lt;/tr&gt;</v>
      </c>
      <c r="L522" s="45"/>
      <c r="O522" s="45"/>
    </row>
    <row r="523" spans="1:15" ht="15" customHeight="1" x14ac:dyDescent="0.25">
      <c r="A523" s="8">
        <v>5</v>
      </c>
      <c r="B523" s="8">
        <v>4</v>
      </c>
      <c r="C523" s="8">
        <v>1</v>
      </c>
      <c r="D523" s="94" t="s">
        <v>220</v>
      </c>
      <c r="E523" s="7">
        <v>0.7</v>
      </c>
      <c r="F523" s="72">
        <f>$E$3*E523</f>
        <v>140</v>
      </c>
      <c r="G523" s="8">
        <f t="shared" si="132"/>
        <v>70</v>
      </c>
      <c r="H523" s="8" t="str" cm="1">
        <f t="array" ref="H523">GetColorMatchValue(F523, $F$3:$F$10)</f>
        <v>bs</v>
      </c>
      <c r="I523" s="101" t="str">
        <f t="shared" si="140"/>
        <v>&lt;tr data-section="541"&gt;&lt;td&gt;1 Set of 4 Reps&lt;/td&gt;&lt;td&gt;60%&lt;/td&gt;&lt;td&gt;${percent(bs, 60)}kg&lt;/td&gt;&lt;/tr&gt;</v>
      </c>
      <c r="L523" s="45"/>
      <c r="O523" s="45"/>
    </row>
    <row r="524" spans="1:15" ht="15" customHeight="1" x14ac:dyDescent="0.25">
      <c r="A524" s="8">
        <v>5</v>
      </c>
      <c r="B524" s="8">
        <v>4</v>
      </c>
      <c r="C524" s="8">
        <v>1</v>
      </c>
      <c r="D524" s="94" t="s">
        <v>235</v>
      </c>
      <c r="E524" s="7">
        <v>0.8</v>
      </c>
      <c r="F524" s="72">
        <f>$E$3*E524</f>
        <v>160</v>
      </c>
      <c r="G524" s="8">
        <f t="shared" si="132"/>
        <v>80</v>
      </c>
      <c r="H524" s="8" t="str" cm="1">
        <f t="array" ref="H524">GetColorMatchValue(F524, $F$3:$F$10)</f>
        <v>bs</v>
      </c>
      <c r="I524" s="101" t="str">
        <f t="shared" si="140"/>
        <v>&lt;tr data-section="541"&gt;&lt;td&gt;1 Set of 4 Reps&lt;/td&gt;&lt;td&gt;70%&lt;/td&gt;&lt;td&gt;${percent(bs, 70)}kg&lt;/td&gt;&lt;/tr&gt;</v>
      </c>
      <c r="L524" s="45"/>
      <c r="O524" s="45"/>
    </row>
    <row r="525" spans="1:15" ht="15" customHeight="1" x14ac:dyDescent="0.25">
      <c r="A525" s="8">
        <v>5</v>
      </c>
      <c r="B525" s="8">
        <v>4</v>
      </c>
      <c r="C525" s="8">
        <v>1</v>
      </c>
      <c r="D525" s="94"/>
      <c r="E525" s="8"/>
      <c r="F525" s="71"/>
      <c r="G525" s="8" t="str">
        <f t="shared" si="132"/>
        <v/>
      </c>
      <c r="H525" s="8" t="str" cm="1">
        <f t="array" ref="H525">GetColorMatchValue(F525, $F$3:$F$10)</f>
        <v/>
      </c>
      <c r="I525" s="96" t="s">
        <v>287</v>
      </c>
      <c r="L525" s="45"/>
      <c r="O525" s="45"/>
    </row>
    <row r="526" spans="1:15" ht="15" customHeight="1" x14ac:dyDescent="0.25">
      <c r="A526" s="8">
        <v>5</v>
      </c>
      <c r="B526" s="8">
        <v>4</v>
      </c>
      <c r="C526" s="8">
        <v>2</v>
      </c>
      <c r="D526" s="93" t="s">
        <v>87</v>
      </c>
      <c r="E526" s="8"/>
      <c r="F526" s="71"/>
      <c r="G526" s="8" t="str">
        <f t="shared" si="132"/>
        <v/>
      </c>
      <c r="H526" s="8" t="str" cm="1">
        <f t="array" ref="H526">GetColorMatchValue(F526, $F$3:$F$10)</f>
        <v/>
      </c>
      <c r="I526" s="99" t="str">
        <f>"&lt;tr&gt;&lt;th colspan=""3""&gt;&lt;label&gt;"&amp;D525&amp;"&lt;input type=""checkbox"" class=""section-toggle"" data-section="""&amp;A525&amp;B525&amp;C525&amp;"""/&gt;&lt;/label&gt;&lt;/th&gt;&lt;/tr&gt;"</f>
        <v>&lt;tr&gt;&lt;th colspan="3"&gt;&lt;label&gt;&lt;input type="checkbox" class="section-toggle" data-section="541"/&gt;&lt;/label&gt;&lt;/th&gt;&lt;/tr&gt;</v>
      </c>
      <c r="L526" s="45"/>
      <c r="O526" s="45"/>
    </row>
    <row r="527" spans="1:15" ht="15" customHeight="1" x14ac:dyDescent="0.25">
      <c r="A527" s="8">
        <v>5</v>
      </c>
      <c r="B527" s="8">
        <v>4</v>
      </c>
      <c r="C527" s="8">
        <v>2</v>
      </c>
      <c r="D527" s="94" t="s">
        <v>220</v>
      </c>
      <c r="E527" s="7">
        <v>0.9</v>
      </c>
      <c r="F527" s="73">
        <f t="shared" ref="F527:F528" si="141">$E$7*E527</f>
        <v>85.5</v>
      </c>
      <c r="G527" s="8">
        <f t="shared" si="132"/>
        <v>90</v>
      </c>
      <c r="H527" s="8" t="str" cm="1">
        <f t="array" ref="H527">GetColorMatchValue(F527, $F$3:$F$10)</f>
        <v>s</v>
      </c>
      <c r="I527" s="101" t="str">
        <f t="shared" ref="I527:I528" si="142">"&lt;tr data-section="""&amp;A526&amp;B526&amp;C526&amp;"""&gt;&lt;td&gt;"&amp;D526&amp;"&lt;/td&gt;&lt;td&gt;"&amp;G526&amp;"%&lt;/td&gt;&lt;td&gt;${percent("&amp;H526&amp;", "&amp;G526&amp;")}kg&lt;/td&gt;&lt;/tr&gt;"</f>
        <v>&lt;tr data-section="542"&gt;&lt;td&gt;Snatch Pull &lt;/td&gt;&lt;td&gt;%&lt;/td&gt;&lt;td&gt;${percent(, )}kg&lt;/td&gt;&lt;/tr&gt;</v>
      </c>
      <c r="L527" s="45"/>
      <c r="O527" s="45"/>
    </row>
    <row r="528" spans="1:15" ht="15" customHeight="1" x14ac:dyDescent="0.25">
      <c r="A528" s="8">
        <v>5</v>
      </c>
      <c r="B528" s="8">
        <v>4</v>
      </c>
      <c r="C528" s="8">
        <v>2</v>
      </c>
      <c r="D528" s="94" t="s">
        <v>202</v>
      </c>
      <c r="E528" s="7">
        <v>1</v>
      </c>
      <c r="F528" s="73">
        <f t="shared" si="141"/>
        <v>95</v>
      </c>
      <c r="G528" s="8">
        <f t="shared" si="132"/>
        <v>100</v>
      </c>
      <c r="H528" s="8" t="str" cm="1">
        <f t="array" ref="H528">GetColorMatchValue(F528, $F$3:$F$10)</f>
        <v>s</v>
      </c>
      <c r="I528" s="101" t="str">
        <f t="shared" si="142"/>
        <v>&lt;tr data-section="542"&gt;&lt;td&gt;1 Set of 4 Reps&lt;/td&gt;&lt;td&gt;90%&lt;/td&gt;&lt;td&gt;${percent(s, 90)}kg&lt;/td&gt;&lt;/tr&gt;</v>
      </c>
      <c r="L528" s="45"/>
      <c r="O528" s="45"/>
    </row>
    <row r="529" spans="1:15" ht="15" customHeight="1" x14ac:dyDescent="0.25">
      <c r="A529" s="8">
        <v>5</v>
      </c>
      <c r="B529" s="8">
        <v>4</v>
      </c>
      <c r="C529" s="8">
        <v>2</v>
      </c>
      <c r="D529" s="94"/>
      <c r="E529" s="8"/>
      <c r="F529" s="71"/>
      <c r="G529" s="8" t="str">
        <f t="shared" si="132"/>
        <v/>
      </c>
      <c r="H529" s="8" t="str" cm="1">
        <f t="array" ref="H529">GetColorMatchValue(F529, $F$3:$F$10)</f>
        <v/>
      </c>
      <c r="I529" s="96" t="s">
        <v>287</v>
      </c>
      <c r="L529" s="45"/>
      <c r="O529" s="45"/>
    </row>
    <row r="530" spans="1:15" ht="15" customHeight="1" x14ac:dyDescent="0.25">
      <c r="A530" s="8">
        <v>5</v>
      </c>
      <c r="B530" s="8">
        <v>4</v>
      </c>
      <c r="C530" s="8">
        <v>3</v>
      </c>
      <c r="D530" s="93" t="s">
        <v>88</v>
      </c>
      <c r="E530" s="8"/>
      <c r="F530" s="71"/>
      <c r="G530" s="8" t="str">
        <f t="shared" si="132"/>
        <v/>
      </c>
      <c r="H530" s="8" t="str" cm="1">
        <f t="array" ref="H530">GetColorMatchValue(F530, $F$3:$F$10)</f>
        <v/>
      </c>
      <c r="I530" s="99" t="str">
        <f>"&lt;tr&gt;&lt;th colspan=""3""&gt;&lt;label&gt;"&amp;D529&amp;"&lt;input type=""checkbox"" class=""section-toggle"" data-section="""&amp;A529&amp;B529&amp;C529&amp;"""/&gt;&lt;/label&gt;&lt;/th&gt;&lt;/tr&gt;"</f>
        <v>&lt;tr&gt;&lt;th colspan="3"&gt;&lt;label&gt;&lt;input type="checkbox" class="section-toggle" data-section="542"/&gt;&lt;/label&gt;&lt;/th&gt;&lt;/tr&gt;</v>
      </c>
      <c r="L530" s="45"/>
      <c r="O530" s="45"/>
    </row>
    <row r="531" spans="1:15" ht="15" customHeight="1" x14ac:dyDescent="0.25">
      <c r="A531" s="8">
        <v>5</v>
      </c>
      <c r="B531" s="8">
        <v>4</v>
      </c>
      <c r="C531" s="8">
        <v>3</v>
      </c>
      <c r="D531" s="94" t="s">
        <v>220</v>
      </c>
      <c r="E531" s="7">
        <v>0.8</v>
      </c>
      <c r="F531" s="75">
        <f t="shared" ref="F531:F536" si="143">$E$6*E531</f>
        <v>88</v>
      </c>
      <c r="G531" s="8">
        <f t="shared" si="132"/>
        <v>80</v>
      </c>
      <c r="H531" s="8" t="str" cm="1">
        <f t="array" ref="H531">GetColorMatchValue(F531, $F$3:$F$10)</f>
        <v>c</v>
      </c>
      <c r="I531" s="101" t="str">
        <f t="shared" ref="I531:I536" si="144">"&lt;tr data-section="""&amp;A530&amp;B530&amp;C530&amp;"""&gt;&lt;td&gt;"&amp;D530&amp;"&lt;/td&gt;&lt;td&gt;"&amp;G530&amp;"%&lt;/td&gt;&lt;td&gt;${percent("&amp;H530&amp;", "&amp;G530&amp;")}kg&lt;/td&gt;&lt;/tr&gt;"</f>
        <v>&lt;tr data-section="543"&gt;&lt;td&gt;Clean Pull from Blocks Below the Knee &lt;/td&gt;&lt;td&gt;%&lt;/td&gt;&lt;td&gt;${percent(, )}kg&lt;/td&gt;&lt;/tr&gt;</v>
      </c>
      <c r="L531" s="45"/>
      <c r="O531" s="45"/>
    </row>
    <row r="532" spans="1:15" ht="15" customHeight="1" x14ac:dyDescent="0.25">
      <c r="A532" s="8">
        <v>5</v>
      </c>
      <c r="B532" s="8">
        <v>4</v>
      </c>
      <c r="C532" s="8">
        <v>3</v>
      </c>
      <c r="D532" s="94" t="s">
        <v>213</v>
      </c>
      <c r="E532" s="7">
        <v>0.9</v>
      </c>
      <c r="F532" s="75">
        <f t="shared" si="143"/>
        <v>99</v>
      </c>
      <c r="G532" s="8">
        <f t="shared" si="132"/>
        <v>90</v>
      </c>
      <c r="H532" s="8" t="str" cm="1">
        <f t="array" ref="H532">GetColorMatchValue(F532, $F$3:$F$10)</f>
        <v>c</v>
      </c>
      <c r="I532" s="101" t="str">
        <f t="shared" si="144"/>
        <v>&lt;tr data-section="543"&gt;&lt;td&gt;1 Set of 4 Reps&lt;/td&gt;&lt;td&gt;80%&lt;/td&gt;&lt;td&gt;${percent(c, 80)}kg&lt;/td&gt;&lt;/tr&gt;</v>
      </c>
      <c r="L532" s="45"/>
      <c r="O532" s="45"/>
    </row>
    <row r="533" spans="1:15" ht="15" customHeight="1" x14ac:dyDescent="0.25">
      <c r="A533" s="8">
        <v>5</v>
      </c>
      <c r="B533" s="8">
        <v>4</v>
      </c>
      <c r="C533" s="8">
        <v>3</v>
      </c>
      <c r="D533" s="94" t="s">
        <v>220</v>
      </c>
      <c r="E533" s="7">
        <v>0.8</v>
      </c>
      <c r="F533" s="75">
        <f t="shared" si="143"/>
        <v>88</v>
      </c>
      <c r="G533" s="8">
        <f t="shared" si="132"/>
        <v>80</v>
      </c>
      <c r="H533" s="8" t="str" cm="1">
        <f t="array" ref="H533">GetColorMatchValue(F533, $F$3:$F$10)</f>
        <v>c</v>
      </c>
      <c r="I533" s="101" t="str">
        <f t="shared" si="144"/>
        <v>&lt;tr data-section="543"&gt;&lt;td&gt;1 Set of 3 Reps&lt;/td&gt;&lt;td&gt;90%&lt;/td&gt;&lt;td&gt;${percent(c, 90)}kg&lt;/td&gt;&lt;/tr&gt;</v>
      </c>
      <c r="L533" s="45"/>
      <c r="O533" s="45"/>
    </row>
    <row r="534" spans="1:15" ht="15" customHeight="1" x14ac:dyDescent="0.25">
      <c r="A534" s="8">
        <v>5</v>
      </c>
      <c r="B534" s="8">
        <v>4</v>
      </c>
      <c r="C534" s="8">
        <v>3</v>
      </c>
      <c r="D534" s="94" t="s">
        <v>213</v>
      </c>
      <c r="E534" s="7">
        <v>0.9</v>
      </c>
      <c r="F534" s="75">
        <f t="shared" si="143"/>
        <v>99</v>
      </c>
      <c r="G534" s="8">
        <f t="shared" si="132"/>
        <v>90</v>
      </c>
      <c r="H534" s="8" t="str" cm="1">
        <f t="array" ref="H534">GetColorMatchValue(F534, $F$3:$F$10)</f>
        <v>c</v>
      </c>
      <c r="I534" s="101" t="str">
        <f t="shared" si="144"/>
        <v>&lt;tr data-section="543"&gt;&lt;td&gt;1 Set of 4 Reps&lt;/td&gt;&lt;td&gt;80%&lt;/td&gt;&lt;td&gt;${percent(c, 80)}kg&lt;/td&gt;&lt;/tr&gt;</v>
      </c>
      <c r="L534" s="45"/>
      <c r="O534" s="45"/>
    </row>
    <row r="535" spans="1:15" ht="15" customHeight="1" x14ac:dyDescent="0.25">
      <c r="A535" s="8">
        <v>5</v>
      </c>
      <c r="B535" s="8">
        <v>4</v>
      </c>
      <c r="C535" s="8">
        <v>3</v>
      </c>
      <c r="D535" s="94" t="s">
        <v>220</v>
      </c>
      <c r="E535" s="7">
        <v>0.8</v>
      </c>
      <c r="F535" s="75">
        <f t="shared" si="143"/>
        <v>88</v>
      </c>
      <c r="G535" s="8">
        <f t="shared" si="132"/>
        <v>80</v>
      </c>
      <c r="H535" s="8" t="str" cm="1">
        <f t="array" ref="H535">GetColorMatchValue(F535, $F$3:$F$10)</f>
        <v>c</v>
      </c>
      <c r="I535" s="101" t="str">
        <f t="shared" si="144"/>
        <v>&lt;tr data-section="543"&gt;&lt;td&gt;1 Set of 3 Reps&lt;/td&gt;&lt;td&gt;90%&lt;/td&gt;&lt;td&gt;${percent(c, 90)}kg&lt;/td&gt;&lt;/tr&gt;</v>
      </c>
      <c r="L535" s="45"/>
      <c r="O535" s="45"/>
    </row>
    <row r="536" spans="1:15" ht="15" customHeight="1" x14ac:dyDescent="0.25">
      <c r="A536" s="8">
        <v>5</v>
      </c>
      <c r="B536" s="8">
        <v>4</v>
      </c>
      <c r="C536" s="8">
        <v>3</v>
      </c>
      <c r="D536" s="94" t="s">
        <v>213</v>
      </c>
      <c r="E536" s="7">
        <v>0.9</v>
      </c>
      <c r="F536" s="75">
        <f t="shared" si="143"/>
        <v>99</v>
      </c>
      <c r="G536" s="8">
        <f t="shared" si="132"/>
        <v>90</v>
      </c>
      <c r="H536" s="8" t="str" cm="1">
        <f t="array" ref="H536">GetColorMatchValue(F536, $F$3:$F$10)</f>
        <v>c</v>
      </c>
      <c r="I536" s="101" t="str">
        <f t="shared" si="144"/>
        <v>&lt;tr data-section="543"&gt;&lt;td&gt;1 Set of 4 Reps&lt;/td&gt;&lt;td&gt;80%&lt;/td&gt;&lt;td&gt;${percent(c, 80)}kg&lt;/td&gt;&lt;/tr&gt;</v>
      </c>
      <c r="L536" s="45"/>
      <c r="O536" s="45"/>
    </row>
    <row r="537" spans="1:15" ht="15" customHeight="1" x14ac:dyDescent="0.25">
      <c r="A537" s="8">
        <v>5</v>
      </c>
      <c r="B537" s="8">
        <v>4</v>
      </c>
      <c r="C537" s="8">
        <v>3</v>
      </c>
      <c r="D537" s="94"/>
      <c r="E537" s="8"/>
      <c r="F537" s="71"/>
      <c r="G537" s="8" t="str">
        <f t="shared" si="132"/>
        <v/>
      </c>
      <c r="H537" s="8" t="str" cm="1">
        <f t="array" ref="H537">GetColorMatchValue(F537, $F$3:$F$10)</f>
        <v/>
      </c>
      <c r="I537" s="96" t="s">
        <v>287</v>
      </c>
      <c r="L537" s="45"/>
      <c r="O537" s="45"/>
    </row>
    <row r="538" spans="1:15" ht="15" customHeight="1" x14ac:dyDescent="0.25">
      <c r="A538" s="8">
        <v>5</v>
      </c>
      <c r="B538" s="8">
        <v>4</v>
      </c>
      <c r="C538" s="8">
        <v>4</v>
      </c>
      <c r="D538" s="93" t="s">
        <v>47</v>
      </c>
      <c r="E538" s="8"/>
      <c r="F538" s="71"/>
      <c r="G538" s="8" t="str">
        <f t="shared" si="132"/>
        <v/>
      </c>
      <c r="H538" s="8" t="str" cm="1">
        <f t="array" ref="H538">GetColorMatchValue(F538, $F$3:$F$10)</f>
        <v/>
      </c>
      <c r="I538" s="99" t="str">
        <f>"&lt;tr&gt;&lt;th colspan=""3""&gt;&lt;label&gt;"&amp;D537&amp;"&lt;input type=""checkbox"" class=""section-toggle"" data-section="""&amp;A537&amp;B537&amp;C537&amp;"""/&gt;&lt;/label&gt;&lt;/th&gt;&lt;/tr&gt;"</f>
        <v>&lt;tr&gt;&lt;th colspan="3"&gt;&lt;label&gt;&lt;input type="checkbox" class="section-toggle" data-section="543"/&gt;&lt;/label&gt;&lt;/th&gt;&lt;/tr&gt;</v>
      </c>
      <c r="L538" s="45"/>
      <c r="O538" s="45"/>
    </row>
    <row r="539" spans="1:15" ht="15" customHeight="1" x14ac:dyDescent="0.25">
      <c r="A539" s="95">
        <v>5</v>
      </c>
      <c r="B539" s="95">
        <v>4</v>
      </c>
      <c r="C539" s="8">
        <v>4</v>
      </c>
      <c r="D539" s="94" t="s">
        <v>205</v>
      </c>
      <c r="E539" s="94" t="s">
        <v>197</v>
      </c>
      <c r="F539" s="71"/>
      <c r="G539" s="8" t="str">
        <f t="shared" si="132"/>
        <v/>
      </c>
      <c r="H539" s="8" t="str" cm="1">
        <f t="array" ref="H539">GetColorMatchValue(F539, $F$3:$F$10)</f>
        <v/>
      </c>
      <c r="I539" s="104" t="str">
        <f>"&lt;tr data-section="""&amp;A538&amp;B538&amp;C538&amp;"""&gt;&lt;td colspan=""3""&gt;"&amp;D538&amp;" "&amp;E538&amp;"&lt;/td&gt;&lt;/tr&gt;"</f>
        <v>&lt;tr data-section="544"&gt;&lt;td colspan="3"&gt;Press &lt;/td&gt;&lt;/tr&gt;</v>
      </c>
      <c r="L539" s="45"/>
      <c r="O539" s="45"/>
    </row>
    <row r="540" spans="1:15" ht="15" customHeight="1" x14ac:dyDescent="0.25">
      <c r="A540" s="8">
        <v>6</v>
      </c>
      <c r="B540" s="8">
        <v>1</v>
      </c>
      <c r="C540" s="8">
        <v>1</v>
      </c>
      <c r="D540" s="93" t="s">
        <v>0</v>
      </c>
      <c r="E540" s="8"/>
      <c r="F540" s="71"/>
      <c r="G540" s="8" t="str">
        <f t="shared" si="132"/>
        <v/>
      </c>
      <c r="H540" s="8" t="str" cm="1">
        <f t="array" ref="H540">GetColorMatchValue(F540, $F$3:$F$10)</f>
        <v/>
      </c>
      <c r="I540" s="99" t="str">
        <f>"&lt;tr&gt;&lt;th colspan=""3""&gt;&lt;label&gt;"&amp;D539&amp;"&lt;input type=""checkbox"" class=""section-toggle"" data-section="""&amp;A539&amp;B539&amp;C539&amp;"""/&gt;&lt;/label&gt;&lt;/th&gt;&lt;/tr&gt;"</f>
        <v>&lt;tr&gt;&lt;th colspan="3"&gt;&lt;label&gt;4 Sets of 3 Reps&lt;input type="checkbox" class="section-toggle" data-section="544"/&gt;&lt;/label&gt;&lt;/th&gt;&lt;/tr&gt;</v>
      </c>
    </row>
    <row r="541" spans="1:15" ht="15" customHeight="1" x14ac:dyDescent="0.25">
      <c r="A541" s="8">
        <v>6</v>
      </c>
      <c r="B541" s="8">
        <v>1</v>
      </c>
      <c r="C541" s="8">
        <v>1</v>
      </c>
      <c r="D541" s="94" t="s">
        <v>228</v>
      </c>
      <c r="E541" s="7">
        <v>0.6</v>
      </c>
      <c r="F541" s="72">
        <f>$E$3*E541</f>
        <v>120</v>
      </c>
      <c r="G541" s="8">
        <f t="shared" si="132"/>
        <v>60</v>
      </c>
      <c r="H541" s="8" t="str" cm="1">
        <f t="array" ref="H541">GetColorMatchValue(F541, $F$3:$F$10)</f>
        <v>bs</v>
      </c>
      <c r="I541" s="101" t="str">
        <f t="shared" ref="I541:I543" si="145">"&lt;tr data-section="""&amp;A540&amp;B540&amp;C540&amp;"""&gt;&lt;td&gt;"&amp;D540&amp;"&lt;/td&gt;&lt;td&gt;"&amp;G540&amp;"%&lt;/td&gt;&lt;td&gt;${percent("&amp;H540&amp;", "&amp;G540&amp;")}kg&lt;/td&gt;&lt;/tr&gt;"</f>
        <v>&lt;tr data-section="611"&gt;&lt;td&gt;Back Squat&lt;/td&gt;&lt;td&gt;%&lt;/td&gt;&lt;td&gt;${percent(, )}kg&lt;/td&gt;&lt;/tr&gt;</v>
      </c>
    </row>
    <row r="542" spans="1:15" ht="15" customHeight="1" x14ac:dyDescent="0.25">
      <c r="A542" s="8">
        <v>6</v>
      </c>
      <c r="B542" s="8">
        <v>1</v>
      </c>
      <c r="C542" s="8">
        <v>1</v>
      </c>
      <c r="D542" s="94" t="s">
        <v>228</v>
      </c>
      <c r="E542" s="7">
        <v>0.7</v>
      </c>
      <c r="F542" s="72">
        <f>$E$3*E542</f>
        <v>140</v>
      </c>
      <c r="G542" s="8">
        <f t="shared" si="132"/>
        <v>70</v>
      </c>
      <c r="H542" s="8" t="str" cm="1">
        <f t="array" ref="H542">GetColorMatchValue(F542, $F$3:$F$10)</f>
        <v>bs</v>
      </c>
      <c r="I542" s="101" t="str">
        <f t="shared" si="145"/>
        <v>&lt;tr data-section="611"&gt;&lt;td&gt;1 Set of 5 Reps&lt;/td&gt;&lt;td&gt;60%&lt;/td&gt;&lt;td&gt;${percent(bs, 60)}kg&lt;/td&gt;&lt;/tr&gt;</v>
      </c>
    </row>
    <row r="543" spans="1:15" ht="15" customHeight="1" x14ac:dyDescent="0.25">
      <c r="A543" s="8">
        <v>6</v>
      </c>
      <c r="B543" s="8">
        <v>1</v>
      </c>
      <c r="C543" s="8">
        <v>1</v>
      </c>
      <c r="D543" s="94" t="s">
        <v>198</v>
      </c>
      <c r="E543" s="7">
        <v>0.8</v>
      </c>
      <c r="F543" s="72">
        <f>$E$3*E543</f>
        <v>160</v>
      </c>
      <c r="G543" s="8">
        <f t="shared" si="132"/>
        <v>80</v>
      </c>
      <c r="H543" s="8" t="str" cm="1">
        <f t="array" ref="H543">GetColorMatchValue(F543, $F$3:$F$10)</f>
        <v>bs</v>
      </c>
      <c r="I543" s="101" t="str">
        <f t="shared" si="145"/>
        <v>&lt;tr data-section="611"&gt;&lt;td&gt;1 Set of 5 Reps&lt;/td&gt;&lt;td&gt;70%&lt;/td&gt;&lt;td&gt;${percent(bs, 70)}kg&lt;/td&gt;&lt;/tr&gt;</v>
      </c>
    </row>
    <row r="544" spans="1:15" ht="15" customHeight="1" x14ac:dyDescent="0.25">
      <c r="A544" s="8">
        <v>6</v>
      </c>
      <c r="B544" s="8">
        <v>1</v>
      </c>
      <c r="C544" s="8">
        <v>1</v>
      </c>
      <c r="D544" s="94"/>
      <c r="E544" s="8"/>
      <c r="F544" s="71"/>
      <c r="G544" s="8" t="str">
        <f t="shared" si="132"/>
        <v/>
      </c>
      <c r="H544" s="8" t="str" cm="1">
        <f t="array" ref="H544">GetColorMatchValue(F544, $F$3:$F$10)</f>
        <v/>
      </c>
      <c r="I544" s="96" t="s">
        <v>287</v>
      </c>
    </row>
    <row r="545" spans="1:9" ht="15" customHeight="1" x14ac:dyDescent="0.25">
      <c r="A545" s="8">
        <v>6</v>
      </c>
      <c r="B545" s="8">
        <v>1</v>
      </c>
      <c r="C545" s="8">
        <v>2</v>
      </c>
      <c r="D545" s="93" t="s">
        <v>42</v>
      </c>
      <c r="E545" s="8"/>
      <c r="F545" s="71"/>
      <c r="G545" s="8" t="str">
        <f t="shared" si="132"/>
        <v/>
      </c>
      <c r="H545" s="8" t="str" cm="1">
        <f t="array" ref="H545">GetColorMatchValue(F545, $F$3:$F$10)</f>
        <v/>
      </c>
      <c r="I545" s="99" t="str">
        <f>"&lt;tr&gt;&lt;th colspan=""3""&gt;&lt;label&gt;"&amp;D544&amp;"&lt;input type=""checkbox"" class=""section-toggle"" data-section="""&amp;A544&amp;B544&amp;C544&amp;"""/&gt;&lt;/label&gt;&lt;/th&gt;&lt;/tr&gt;"</f>
        <v>&lt;tr&gt;&lt;th colspan="3"&gt;&lt;label&gt;&lt;input type="checkbox" class="section-toggle" data-section="611"/&gt;&lt;/label&gt;&lt;/th&gt;&lt;/tr&gt;</v>
      </c>
    </row>
    <row r="546" spans="1:9" ht="15" customHeight="1" x14ac:dyDescent="0.25">
      <c r="A546" s="8">
        <v>6</v>
      </c>
      <c r="B546" s="8">
        <v>1</v>
      </c>
      <c r="C546" s="8">
        <v>2</v>
      </c>
      <c r="D546" s="94" t="s">
        <v>220</v>
      </c>
      <c r="E546" s="7">
        <v>0.6</v>
      </c>
      <c r="F546" s="73">
        <f t="shared" ref="F546:F548" si="146">$E$7*E546</f>
        <v>57</v>
      </c>
      <c r="G546" s="8">
        <f t="shared" si="132"/>
        <v>60</v>
      </c>
      <c r="H546" s="8" t="str" cm="1">
        <f t="array" ref="H546">GetColorMatchValue(F546, $F$3:$F$10)</f>
        <v>s</v>
      </c>
      <c r="I546" s="101" t="str">
        <f t="shared" ref="I546:I548" si="147">"&lt;tr data-section="""&amp;A545&amp;B545&amp;C545&amp;"""&gt;&lt;td&gt;"&amp;D545&amp;"&lt;/td&gt;&lt;td&gt;"&amp;G545&amp;"%&lt;/td&gt;&lt;td&gt;${percent("&amp;H545&amp;", "&amp;G545&amp;")}kg&lt;/td&gt;&lt;/tr&gt;"</f>
        <v>&lt;tr data-section="612"&gt;&lt;td&gt;Snatch&lt;/td&gt;&lt;td&gt;%&lt;/td&gt;&lt;td&gt;${percent(, )}kg&lt;/td&gt;&lt;/tr&gt;</v>
      </c>
    </row>
    <row r="547" spans="1:9" ht="15" customHeight="1" x14ac:dyDescent="0.25">
      <c r="A547" s="8">
        <v>6</v>
      </c>
      <c r="B547" s="8">
        <v>1</v>
      </c>
      <c r="C547" s="8">
        <v>2</v>
      </c>
      <c r="D547" s="94" t="s">
        <v>220</v>
      </c>
      <c r="E547" s="7">
        <v>0.7</v>
      </c>
      <c r="F547" s="73">
        <f t="shared" si="146"/>
        <v>66.5</v>
      </c>
      <c r="G547" s="8">
        <f t="shared" si="132"/>
        <v>70</v>
      </c>
      <c r="H547" s="8" t="str" cm="1">
        <f t="array" ref="H547">GetColorMatchValue(F547, $F$3:$F$10)</f>
        <v>s</v>
      </c>
      <c r="I547" s="101" t="str">
        <f t="shared" si="147"/>
        <v>&lt;tr data-section="612"&gt;&lt;td&gt;1 Set of 4 Reps&lt;/td&gt;&lt;td&gt;60%&lt;/td&gt;&lt;td&gt;${percent(s, 60)}kg&lt;/td&gt;&lt;/tr&gt;</v>
      </c>
    </row>
    <row r="548" spans="1:9" ht="15" customHeight="1" x14ac:dyDescent="0.25">
      <c r="A548" s="8">
        <v>6</v>
      </c>
      <c r="B548" s="8">
        <v>1</v>
      </c>
      <c r="C548" s="8">
        <v>2</v>
      </c>
      <c r="D548" s="94" t="s">
        <v>202</v>
      </c>
      <c r="E548" s="7">
        <v>0.8</v>
      </c>
      <c r="F548" s="73">
        <f t="shared" si="146"/>
        <v>76</v>
      </c>
      <c r="G548" s="8">
        <f t="shared" si="132"/>
        <v>80</v>
      </c>
      <c r="H548" s="8" t="str" cm="1">
        <f t="array" ref="H548">GetColorMatchValue(F548, $F$3:$F$10)</f>
        <v>s</v>
      </c>
      <c r="I548" s="101" t="str">
        <f t="shared" si="147"/>
        <v>&lt;tr data-section="612"&gt;&lt;td&gt;1 Set of 4 Reps&lt;/td&gt;&lt;td&gt;70%&lt;/td&gt;&lt;td&gt;${percent(s, 70)}kg&lt;/td&gt;&lt;/tr&gt;</v>
      </c>
    </row>
    <row r="549" spans="1:9" ht="15" customHeight="1" x14ac:dyDescent="0.25">
      <c r="A549" s="8">
        <v>6</v>
      </c>
      <c r="B549" s="8">
        <v>1</v>
      </c>
      <c r="C549" s="8">
        <v>2</v>
      </c>
      <c r="D549" s="94"/>
      <c r="E549" s="8"/>
      <c r="F549" s="71"/>
      <c r="G549" s="8" t="str">
        <f t="shared" si="132"/>
        <v/>
      </c>
      <c r="H549" s="8" t="str" cm="1">
        <f t="array" ref="H549">GetColorMatchValue(F549, $F$3:$F$10)</f>
        <v/>
      </c>
      <c r="I549" s="96" t="s">
        <v>287</v>
      </c>
    </row>
    <row r="550" spans="1:9" ht="15" customHeight="1" x14ac:dyDescent="0.25">
      <c r="A550" s="8">
        <v>6</v>
      </c>
      <c r="B550" s="8">
        <v>1</v>
      </c>
      <c r="C550" s="8">
        <v>3</v>
      </c>
      <c r="D550" s="93" t="s">
        <v>43</v>
      </c>
      <c r="E550" s="8"/>
      <c r="F550" s="71"/>
      <c r="G550" s="8" t="str">
        <f t="shared" si="132"/>
        <v/>
      </c>
      <c r="H550" s="8" t="str" cm="1">
        <f t="array" ref="H550">GetColorMatchValue(F550, $F$3:$F$10)</f>
        <v/>
      </c>
      <c r="I550" s="99" t="str">
        <f>"&lt;tr&gt;&lt;th colspan=""3""&gt;&lt;label&gt;"&amp;D549&amp;"&lt;input type=""checkbox"" class=""section-toggle"" data-section="""&amp;A549&amp;B549&amp;C549&amp;"""/&gt;&lt;/label&gt;&lt;/th&gt;&lt;/tr&gt;"</f>
        <v>&lt;tr&gt;&lt;th colspan="3"&gt;&lt;label&gt;&lt;input type="checkbox" class="section-toggle" data-section="612"/&gt;&lt;/label&gt;&lt;/th&gt;&lt;/tr&gt;</v>
      </c>
    </row>
    <row r="551" spans="1:9" ht="15" customHeight="1" x14ac:dyDescent="0.25">
      <c r="A551" s="8">
        <v>6</v>
      </c>
      <c r="B551" s="8">
        <v>1</v>
      </c>
      <c r="C551" s="8">
        <v>3</v>
      </c>
      <c r="D551" s="94" t="s">
        <v>255</v>
      </c>
      <c r="E551" s="7">
        <v>0.6</v>
      </c>
      <c r="F551" s="77">
        <f t="shared" ref="F551:F553" si="148">$E$8*E551</f>
        <v>69</v>
      </c>
      <c r="G551" s="8">
        <f t="shared" si="132"/>
        <v>60</v>
      </c>
      <c r="H551" s="8" t="str" cm="1">
        <f t="array" ref="H551">GetColorMatchValue(F551, $F$3:$F$10)</f>
        <v>cj</v>
      </c>
      <c r="I551" s="101" t="str">
        <f t="shared" ref="I551:I553" si="149">"&lt;tr data-section="""&amp;A550&amp;B550&amp;C550&amp;"""&gt;&lt;td&gt;"&amp;D550&amp;"&lt;/td&gt;&lt;td&gt;"&amp;G550&amp;"%&lt;/td&gt;&lt;td&gt;${percent("&amp;H550&amp;", "&amp;G550&amp;")}kg&lt;/td&gt;&lt;/tr&gt;"</f>
        <v>&lt;tr data-section="613"&gt;&lt;td&gt;Clean + Jerk&lt;/td&gt;&lt;td&gt;%&lt;/td&gt;&lt;td&gt;${percent(, )}kg&lt;/td&gt;&lt;/tr&gt;</v>
      </c>
    </row>
    <row r="552" spans="1:9" ht="15" customHeight="1" x14ac:dyDescent="0.25">
      <c r="A552" s="8">
        <v>6</v>
      </c>
      <c r="B552" s="8">
        <v>1</v>
      </c>
      <c r="C552" s="8">
        <v>3</v>
      </c>
      <c r="D552" s="94" t="s">
        <v>255</v>
      </c>
      <c r="E552" s="7">
        <v>0.7</v>
      </c>
      <c r="F552" s="77">
        <f t="shared" si="148"/>
        <v>80.5</v>
      </c>
      <c r="G552" s="8">
        <f t="shared" si="132"/>
        <v>70</v>
      </c>
      <c r="H552" s="8" t="str" cm="1">
        <f t="array" ref="H552">GetColorMatchValue(F552, $F$3:$F$10)</f>
        <v>cj</v>
      </c>
      <c r="I552" s="101" t="str">
        <f t="shared" si="149"/>
        <v>&lt;tr data-section="613"&gt;&lt;td&gt;1 Set of 1 Cl. + 3 Jr.&lt;/td&gt;&lt;td&gt;60%&lt;/td&gt;&lt;td&gt;${percent(cj, 60)}kg&lt;/td&gt;&lt;/tr&gt;</v>
      </c>
    </row>
    <row r="553" spans="1:9" ht="15" customHeight="1" x14ac:dyDescent="0.25">
      <c r="A553" s="8">
        <v>6</v>
      </c>
      <c r="B553" s="8">
        <v>1</v>
      </c>
      <c r="C553" s="8">
        <v>3</v>
      </c>
      <c r="D553" s="94" t="s">
        <v>262</v>
      </c>
      <c r="E553" s="7">
        <v>0.8</v>
      </c>
      <c r="F553" s="77">
        <f t="shared" si="148"/>
        <v>92</v>
      </c>
      <c r="G553" s="8">
        <f t="shared" ref="G553:G612" si="150">IF(ISNUMBER(E553), E553 * 100, "")</f>
        <v>80</v>
      </c>
      <c r="H553" s="8" t="str" cm="1">
        <f t="array" ref="H553">GetColorMatchValue(F553, $F$3:$F$10)</f>
        <v>cj</v>
      </c>
      <c r="I553" s="101" t="str">
        <f t="shared" si="149"/>
        <v>&lt;tr data-section="613"&gt;&lt;td&gt;1 Set of 1 Cl. + 3 Jr.&lt;/td&gt;&lt;td&gt;70%&lt;/td&gt;&lt;td&gt;${percent(cj, 70)}kg&lt;/td&gt;&lt;/tr&gt;</v>
      </c>
    </row>
    <row r="554" spans="1:9" ht="15" customHeight="1" x14ac:dyDescent="0.25">
      <c r="A554" s="8">
        <v>6</v>
      </c>
      <c r="B554" s="8">
        <v>1</v>
      </c>
      <c r="C554" s="8">
        <v>3</v>
      </c>
      <c r="D554" s="94"/>
      <c r="E554" s="8"/>
      <c r="F554" s="71"/>
      <c r="G554" s="8" t="str">
        <f t="shared" si="150"/>
        <v/>
      </c>
      <c r="H554" s="8" t="str" cm="1">
        <f t="array" ref="H554">GetColorMatchValue(F554, $F$3:$F$10)</f>
        <v/>
      </c>
      <c r="I554" s="96" t="s">
        <v>287</v>
      </c>
    </row>
    <row r="555" spans="1:9" ht="15" customHeight="1" x14ac:dyDescent="0.25">
      <c r="A555" s="8">
        <v>6</v>
      </c>
      <c r="B555" s="8">
        <v>1</v>
      </c>
      <c r="C555" s="8">
        <v>4</v>
      </c>
      <c r="D555" s="93" t="s">
        <v>90</v>
      </c>
      <c r="E555" s="8"/>
      <c r="F555" s="71"/>
      <c r="G555" s="8" t="str">
        <f t="shared" si="150"/>
        <v/>
      </c>
      <c r="H555" s="8" t="str" cm="1">
        <f t="array" ref="H555">GetColorMatchValue(F555, $F$3:$F$10)</f>
        <v/>
      </c>
      <c r="I555" s="99" t="str">
        <f>"&lt;tr&gt;&lt;th colspan=""3""&gt;&lt;label&gt;"&amp;D554&amp;"&lt;input type=""checkbox"" class=""section-toggle"" data-section="""&amp;A554&amp;B554&amp;C554&amp;"""/&gt;&lt;/label&gt;&lt;/th&gt;&lt;/tr&gt;"</f>
        <v>&lt;tr&gt;&lt;th colspan="3"&gt;&lt;label&gt;&lt;input type="checkbox" class="section-toggle" data-section="613"/&gt;&lt;/label&gt;&lt;/th&gt;&lt;/tr&gt;</v>
      </c>
    </row>
    <row r="556" spans="1:9" ht="15" customHeight="1" x14ac:dyDescent="0.25">
      <c r="A556" s="8">
        <v>6</v>
      </c>
      <c r="B556" s="8">
        <v>1</v>
      </c>
      <c r="C556" s="8">
        <v>4</v>
      </c>
      <c r="D556" s="94" t="s">
        <v>220</v>
      </c>
      <c r="E556" s="7">
        <v>0.85</v>
      </c>
      <c r="F556" s="73">
        <f t="shared" ref="F556:F557" si="151">$E$7*E556</f>
        <v>80.75</v>
      </c>
      <c r="G556" s="8">
        <f t="shared" si="150"/>
        <v>85</v>
      </c>
      <c r="H556" s="8" t="str" cm="1">
        <f t="array" ref="H556">GetColorMatchValue(F556, $F$3:$F$10)</f>
        <v>s</v>
      </c>
      <c r="I556" s="101" t="str">
        <f t="shared" ref="I556:I557" si="152">"&lt;tr data-section="""&amp;A555&amp;B555&amp;C555&amp;"""&gt;&lt;td&gt;"&amp;D555&amp;"&lt;/td&gt;&lt;td&gt;"&amp;G555&amp;"%&lt;/td&gt;&lt;td&gt;${percent("&amp;H555&amp;", "&amp;G555&amp;")}kg&lt;/td&gt;&lt;/tr&gt;"</f>
        <v>&lt;tr data-section="614"&gt;&lt;td&gt;Snatch Pull from Blocks Below the Knee &lt;/td&gt;&lt;td&gt;%&lt;/td&gt;&lt;td&gt;${percent(, )}kg&lt;/td&gt;&lt;/tr&gt;</v>
      </c>
    </row>
    <row r="557" spans="1:9" ht="15" customHeight="1" x14ac:dyDescent="0.25">
      <c r="A557" s="8">
        <v>6</v>
      </c>
      <c r="B557" s="8">
        <v>1</v>
      </c>
      <c r="C557" s="8">
        <v>4</v>
      </c>
      <c r="D557" s="94" t="s">
        <v>235</v>
      </c>
      <c r="E557" s="7">
        <v>0.95</v>
      </c>
      <c r="F557" s="73">
        <f t="shared" si="151"/>
        <v>90.25</v>
      </c>
      <c r="G557" s="8">
        <f t="shared" si="150"/>
        <v>95</v>
      </c>
      <c r="H557" s="8" t="str" cm="1">
        <f t="array" ref="H557">GetColorMatchValue(F557, $F$3:$F$10)</f>
        <v>s</v>
      </c>
      <c r="I557" s="101" t="str">
        <f t="shared" si="152"/>
        <v>&lt;tr data-section="614"&gt;&lt;td&gt;1 Set of 4 Reps&lt;/td&gt;&lt;td&gt;85%&lt;/td&gt;&lt;td&gt;${percent(s, 85)}kg&lt;/td&gt;&lt;/tr&gt;</v>
      </c>
    </row>
    <row r="558" spans="1:9" ht="15" customHeight="1" x14ac:dyDescent="0.25">
      <c r="A558" s="8">
        <v>6</v>
      </c>
      <c r="B558" s="8">
        <v>1</v>
      </c>
      <c r="C558" s="8">
        <v>4</v>
      </c>
      <c r="D558" s="94"/>
      <c r="E558" s="8"/>
      <c r="F558" s="71"/>
      <c r="G558" s="8" t="str">
        <f t="shared" si="150"/>
        <v/>
      </c>
      <c r="H558" s="8" t="str" cm="1">
        <f t="array" ref="H558">GetColorMatchValue(F558, $F$3:$F$10)</f>
        <v/>
      </c>
      <c r="I558" s="96" t="s">
        <v>287</v>
      </c>
    </row>
    <row r="559" spans="1:9" ht="15" customHeight="1" x14ac:dyDescent="0.25">
      <c r="A559" s="8">
        <v>6</v>
      </c>
      <c r="B559" s="8">
        <v>1</v>
      </c>
      <c r="C559" s="8">
        <v>5</v>
      </c>
      <c r="D559" s="93" t="s">
        <v>23</v>
      </c>
      <c r="E559" s="8"/>
      <c r="F559" s="71"/>
      <c r="G559" s="8" t="str">
        <f t="shared" si="150"/>
        <v/>
      </c>
      <c r="H559" s="8" t="str" cm="1">
        <f t="array" ref="H559">GetColorMatchValue(F559, $F$3:$F$10)</f>
        <v/>
      </c>
      <c r="I559" s="99" t="str">
        <f>"&lt;tr&gt;&lt;th colspan=""3""&gt;&lt;label&gt;"&amp;D558&amp;"&lt;input type=""checkbox"" class=""section-toggle"" data-section="""&amp;A558&amp;B558&amp;C558&amp;"""/&gt;&lt;/label&gt;&lt;/th&gt;&lt;/tr&gt;"</f>
        <v>&lt;tr&gt;&lt;th colspan="3"&gt;&lt;label&gt;&lt;input type="checkbox" class="section-toggle" data-section="614"/&gt;&lt;/label&gt;&lt;/th&gt;&lt;/tr&gt;</v>
      </c>
    </row>
    <row r="560" spans="1:9" ht="15" customHeight="1" x14ac:dyDescent="0.25">
      <c r="A560" s="8">
        <v>6</v>
      </c>
      <c r="B560" s="8">
        <v>1</v>
      </c>
      <c r="C560" s="8">
        <v>5</v>
      </c>
      <c r="D560" s="94" t="s">
        <v>220</v>
      </c>
      <c r="E560" s="7">
        <v>0.6</v>
      </c>
      <c r="F560" s="76">
        <f t="shared" ref="F560:F562" si="153">$E$10*E560</f>
        <v>48</v>
      </c>
      <c r="G560" s="8">
        <f t="shared" si="150"/>
        <v>60</v>
      </c>
      <c r="H560" s="8" t="str" cm="1">
        <f t="array" ref="H560">GetColorMatchValue(F560, $F$3:$F$10)</f>
        <v>pp</v>
      </c>
      <c r="I560" s="101" t="str">
        <f t="shared" ref="I560:I562" si="154">"&lt;tr data-section="""&amp;A559&amp;B559&amp;C559&amp;"""&gt;&lt;td&gt;"&amp;D559&amp;"&lt;/td&gt;&lt;td&gt;"&amp;G559&amp;"%&lt;/td&gt;&lt;td&gt;${percent("&amp;H559&amp;", "&amp;G559&amp;")}kg&lt;/td&gt;&lt;/tr&gt;"</f>
        <v>&lt;tr data-section="615"&gt;&lt;td&gt;Push Press&lt;/td&gt;&lt;td&gt;%&lt;/td&gt;&lt;td&gt;${percent(, )}kg&lt;/td&gt;&lt;/tr&gt;</v>
      </c>
    </row>
    <row r="561" spans="1:9" ht="15" customHeight="1" x14ac:dyDescent="0.25">
      <c r="A561" s="8">
        <v>6</v>
      </c>
      <c r="B561" s="8">
        <v>1</v>
      </c>
      <c r="C561" s="8">
        <v>5</v>
      </c>
      <c r="D561" s="94" t="s">
        <v>220</v>
      </c>
      <c r="E561" s="7">
        <v>0.65</v>
      </c>
      <c r="F561" s="76">
        <f t="shared" si="153"/>
        <v>52</v>
      </c>
      <c r="G561" s="8">
        <f t="shared" si="150"/>
        <v>65</v>
      </c>
      <c r="H561" s="8" t="str" cm="1">
        <f t="array" ref="H561">GetColorMatchValue(F561, $F$3:$F$10)</f>
        <v>pp</v>
      </c>
      <c r="I561" s="101" t="str">
        <f t="shared" si="154"/>
        <v>&lt;tr data-section="615"&gt;&lt;td&gt;1 Set of 4 Reps&lt;/td&gt;&lt;td&gt;60%&lt;/td&gt;&lt;td&gt;${percent(pp, 60)}kg&lt;/td&gt;&lt;/tr&gt;</v>
      </c>
    </row>
    <row r="562" spans="1:9" ht="15" customHeight="1" x14ac:dyDescent="0.25">
      <c r="A562" s="8">
        <v>6</v>
      </c>
      <c r="B562" s="8">
        <v>1</v>
      </c>
      <c r="C562" s="8">
        <v>5</v>
      </c>
      <c r="D562" s="94" t="s">
        <v>243</v>
      </c>
      <c r="E562" s="7">
        <v>0.7</v>
      </c>
      <c r="F562" s="76">
        <f t="shared" si="153"/>
        <v>56</v>
      </c>
      <c r="G562" s="8">
        <f t="shared" si="150"/>
        <v>70</v>
      </c>
      <c r="H562" s="8" t="str" cm="1">
        <f t="array" ref="H562">GetColorMatchValue(F562, $F$3:$F$10)</f>
        <v>pp</v>
      </c>
      <c r="I562" s="101" t="str">
        <f t="shared" si="154"/>
        <v>&lt;tr data-section="615"&gt;&lt;td&gt;1 Set of 4 Reps&lt;/td&gt;&lt;td&gt;65%&lt;/td&gt;&lt;td&gt;${percent(pp, 65)}kg&lt;/td&gt;&lt;/tr&gt;</v>
      </c>
    </row>
    <row r="563" spans="1:9" ht="15" customHeight="1" x14ac:dyDescent="0.25">
      <c r="A563" s="8">
        <v>6</v>
      </c>
      <c r="B563" s="8">
        <v>1</v>
      </c>
      <c r="C563" s="8">
        <v>5</v>
      </c>
      <c r="D563" s="94"/>
      <c r="E563" s="8"/>
      <c r="F563" s="71"/>
      <c r="G563" s="8" t="str">
        <f t="shared" si="150"/>
        <v/>
      </c>
      <c r="H563" s="8" t="str" cm="1">
        <f t="array" ref="H563">GetColorMatchValue(F563, $F$3:$F$10)</f>
        <v/>
      </c>
      <c r="I563" s="96" t="s">
        <v>287</v>
      </c>
    </row>
    <row r="564" spans="1:9" ht="15" customHeight="1" x14ac:dyDescent="0.25">
      <c r="A564" s="8">
        <v>6</v>
      </c>
      <c r="B564" s="8">
        <v>1</v>
      </c>
      <c r="C564" s="8">
        <v>6</v>
      </c>
      <c r="D564" s="93" t="s">
        <v>65</v>
      </c>
      <c r="E564" s="8"/>
      <c r="F564" s="71"/>
      <c r="G564" s="8" t="str">
        <f t="shared" si="150"/>
        <v/>
      </c>
      <c r="H564" s="8" t="str" cm="1">
        <f t="array" ref="H564">GetColorMatchValue(F564, $F$3:$F$10)</f>
        <v/>
      </c>
      <c r="I564" s="99" t="str">
        <f>"&lt;tr&gt;&lt;th colspan=""3""&gt;&lt;label&gt;"&amp;D563&amp;"&lt;input type=""checkbox"" class=""section-toggle"" data-section="""&amp;A563&amp;B563&amp;C563&amp;"""/&gt;&lt;/label&gt;&lt;/th&gt;&lt;/tr&gt;"</f>
        <v>&lt;tr&gt;&lt;th colspan="3"&gt;&lt;label&gt;&lt;input type="checkbox" class="section-toggle" data-section="615"/&gt;&lt;/label&gt;&lt;/th&gt;&lt;/tr&gt;</v>
      </c>
    </row>
    <row r="565" spans="1:9" ht="15" customHeight="1" x14ac:dyDescent="0.25">
      <c r="A565" s="95">
        <v>6</v>
      </c>
      <c r="B565" s="95">
        <v>1</v>
      </c>
      <c r="C565" s="8">
        <v>6</v>
      </c>
      <c r="D565" s="94" t="s">
        <v>201</v>
      </c>
      <c r="E565" s="94" t="s">
        <v>197</v>
      </c>
      <c r="F565" s="71"/>
      <c r="G565" s="8" t="str">
        <f t="shared" si="150"/>
        <v/>
      </c>
      <c r="H565" s="8" t="str" cm="1">
        <f t="array" ref="H565">GetColorMatchValue(F565, $F$3:$F$10)</f>
        <v/>
      </c>
      <c r="I565" s="104" t="str">
        <f>"&lt;tr data-section="""&amp;A564&amp;B564&amp;C564&amp;"""&gt;&lt;td colspan=""3""&gt;"&amp;D564&amp;" "&amp;E564&amp;"&lt;/td&gt;&lt;/tr&gt;"</f>
        <v>&lt;tr data-section="616"&gt;&lt;td colspan="3"&gt;Good Morning &lt;/td&gt;&lt;/tr&gt;</v>
      </c>
    </row>
    <row r="566" spans="1:9" ht="15" customHeight="1" x14ac:dyDescent="0.25">
      <c r="A566" s="8">
        <v>6</v>
      </c>
      <c r="B566" s="8">
        <v>2</v>
      </c>
      <c r="C566" s="8">
        <v>1</v>
      </c>
      <c r="D566" s="93" t="s">
        <v>0</v>
      </c>
      <c r="E566" s="8"/>
      <c r="F566" s="71"/>
      <c r="G566" s="8" t="str">
        <f t="shared" si="150"/>
        <v/>
      </c>
      <c r="H566" s="8" t="str" cm="1">
        <f t="array" ref="H566">GetColorMatchValue(F566, $F$3:$F$10)</f>
        <v/>
      </c>
      <c r="I566" s="99" t="str">
        <f>"&lt;tr&gt;&lt;th colspan=""3""&gt;&lt;label&gt;"&amp;D565&amp;"&lt;input type=""checkbox"" class=""section-toggle"" data-section="""&amp;A565&amp;B565&amp;C565&amp;"""/&gt;&lt;/label&gt;&lt;/th&gt;&lt;/tr&gt;"</f>
        <v>&lt;tr&gt;&lt;th colspan="3"&gt;&lt;label&gt;4 Sets of 8 Reps&lt;input type="checkbox" class="section-toggle" data-section="616"/&gt;&lt;/label&gt;&lt;/th&gt;&lt;/tr&gt;</v>
      </c>
    </row>
    <row r="567" spans="1:9" ht="15" customHeight="1" x14ac:dyDescent="0.25">
      <c r="A567" s="8">
        <v>6</v>
      </c>
      <c r="B567" s="8">
        <v>2</v>
      </c>
      <c r="C567" s="8">
        <v>1</v>
      </c>
      <c r="D567" s="94" t="s">
        <v>213</v>
      </c>
      <c r="E567" s="7">
        <v>0.6</v>
      </c>
      <c r="F567" s="72">
        <f>$E$3*E567</f>
        <v>120</v>
      </c>
      <c r="G567" s="8">
        <f t="shared" si="150"/>
        <v>60</v>
      </c>
      <c r="H567" s="8" t="str" cm="1">
        <f t="array" ref="H567">GetColorMatchValue(F567, $F$3:$F$10)</f>
        <v>bs</v>
      </c>
      <c r="I567" s="101" t="str">
        <f t="shared" ref="I567:I571" si="155">"&lt;tr data-section="""&amp;A566&amp;B566&amp;C566&amp;"""&gt;&lt;td&gt;"&amp;D566&amp;"&lt;/td&gt;&lt;td&gt;"&amp;G566&amp;"%&lt;/td&gt;&lt;td&gt;${percent("&amp;H566&amp;", "&amp;G566&amp;")}kg&lt;/td&gt;&lt;/tr&gt;"</f>
        <v>&lt;tr data-section="621"&gt;&lt;td&gt;Back Squat&lt;/td&gt;&lt;td&gt;%&lt;/td&gt;&lt;td&gt;${percent(, )}kg&lt;/td&gt;&lt;/tr&gt;</v>
      </c>
    </row>
    <row r="568" spans="1:9" ht="15" customHeight="1" x14ac:dyDescent="0.25">
      <c r="A568" s="8">
        <v>6</v>
      </c>
      <c r="B568" s="8">
        <v>2</v>
      </c>
      <c r="C568" s="8">
        <v>1</v>
      </c>
      <c r="D568" s="94" t="s">
        <v>213</v>
      </c>
      <c r="E568" s="7">
        <v>0.7</v>
      </c>
      <c r="F568" s="72">
        <f>$E$3*E568</f>
        <v>140</v>
      </c>
      <c r="G568" s="8">
        <f t="shared" si="150"/>
        <v>70</v>
      </c>
      <c r="H568" s="8" t="str" cm="1">
        <f t="array" ref="H568">GetColorMatchValue(F568, $F$3:$F$10)</f>
        <v>bs</v>
      </c>
      <c r="I568" s="101" t="str">
        <f t="shared" si="155"/>
        <v>&lt;tr data-section="621"&gt;&lt;td&gt;1 Set of 3 Reps&lt;/td&gt;&lt;td&gt;60%&lt;/td&gt;&lt;td&gt;${percent(bs, 60)}kg&lt;/td&gt;&lt;/tr&gt;</v>
      </c>
    </row>
    <row r="569" spans="1:9" ht="15" customHeight="1" x14ac:dyDescent="0.25">
      <c r="A569" s="8">
        <v>6</v>
      </c>
      <c r="B569" s="8">
        <v>2</v>
      </c>
      <c r="C569" s="8">
        <v>1</v>
      </c>
      <c r="D569" s="94" t="s">
        <v>213</v>
      </c>
      <c r="E569" s="7">
        <v>0.8</v>
      </c>
      <c r="F569" s="72">
        <f>$E$3*E569</f>
        <v>160</v>
      </c>
      <c r="G569" s="8">
        <f t="shared" si="150"/>
        <v>80</v>
      </c>
      <c r="H569" s="8" t="str" cm="1">
        <f t="array" ref="H569">GetColorMatchValue(F569, $F$3:$F$10)</f>
        <v>bs</v>
      </c>
      <c r="I569" s="101" t="str">
        <f t="shared" si="155"/>
        <v>&lt;tr data-section="621"&gt;&lt;td&gt;1 Set of 3 Reps&lt;/td&gt;&lt;td&gt;70%&lt;/td&gt;&lt;td&gt;${percent(bs, 70)}kg&lt;/td&gt;&lt;/tr&gt;</v>
      </c>
    </row>
    <row r="570" spans="1:9" ht="15" customHeight="1" x14ac:dyDescent="0.25">
      <c r="A570" s="8">
        <v>6</v>
      </c>
      <c r="B570" s="8">
        <v>2</v>
      </c>
      <c r="C570" s="8">
        <v>1</v>
      </c>
      <c r="D570" s="94" t="s">
        <v>213</v>
      </c>
      <c r="E570" s="7">
        <v>0.85</v>
      </c>
      <c r="F570" s="72">
        <f>$E$3*E570</f>
        <v>170</v>
      </c>
      <c r="G570" s="8">
        <f t="shared" si="150"/>
        <v>85</v>
      </c>
      <c r="H570" s="8" t="str" cm="1">
        <f t="array" ref="H570">GetColorMatchValue(F570, $F$3:$F$10)</f>
        <v>bs</v>
      </c>
      <c r="I570" s="101" t="str">
        <f t="shared" si="155"/>
        <v>&lt;tr data-section="621"&gt;&lt;td&gt;1 Set of 3 Reps&lt;/td&gt;&lt;td&gt;80%&lt;/td&gt;&lt;td&gt;${percent(bs, 80)}kg&lt;/td&gt;&lt;/tr&gt;</v>
      </c>
    </row>
    <row r="571" spans="1:9" ht="15" customHeight="1" x14ac:dyDescent="0.25">
      <c r="A571" s="8">
        <v>6</v>
      </c>
      <c r="B571" s="8">
        <v>2</v>
      </c>
      <c r="C571" s="8">
        <v>1</v>
      </c>
      <c r="D571" s="94" t="s">
        <v>213</v>
      </c>
      <c r="E571" s="7">
        <v>0.8</v>
      </c>
      <c r="F571" s="72">
        <f>$E$3*E571</f>
        <v>160</v>
      </c>
      <c r="G571" s="8">
        <f t="shared" si="150"/>
        <v>80</v>
      </c>
      <c r="H571" s="8" t="str" cm="1">
        <f t="array" ref="H571">GetColorMatchValue(F571, $F$3:$F$10)</f>
        <v>bs</v>
      </c>
      <c r="I571" s="101" t="str">
        <f t="shared" si="155"/>
        <v>&lt;tr data-section="621"&gt;&lt;td&gt;1 Set of 3 Reps&lt;/td&gt;&lt;td&gt;85%&lt;/td&gt;&lt;td&gt;${percent(bs, 85)}kg&lt;/td&gt;&lt;/tr&gt;</v>
      </c>
    </row>
    <row r="572" spans="1:9" ht="15" customHeight="1" x14ac:dyDescent="0.25">
      <c r="A572" s="8">
        <v>6</v>
      </c>
      <c r="B572" s="8">
        <v>2</v>
      </c>
      <c r="C572" s="8">
        <v>1</v>
      </c>
      <c r="D572" s="94"/>
      <c r="E572" s="8"/>
      <c r="F572" s="71"/>
      <c r="G572" s="8" t="str">
        <f t="shared" si="150"/>
        <v/>
      </c>
      <c r="H572" s="8" t="str" cm="1">
        <f t="array" ref="H572">GetColorMatchValue(F572, $F$3:$F$10)</f>
        <v/>
      </c>
      <c r="I572" s="96" t="s">
        <v>287</v>
      </c>
    </row>
    <row r="573" spans="1:9" ht="15" customHeight="1" x14ac:dyDescent="0.25">
      <c r="A573" s="8">
        <v>6</v>
      </c>
      <c r="B573" s="8">
        <v>2</v>
      </c>
      <c r="C573" s="8">
        <v>2</v>
      </c>
      <c r="D573" s="93" t="s">
        <v>80</v>
      </c>
      <c r="E573" s="8"/>
      <c r="F573" s="71"/>
      <c r="G573" s="8" t="str">
        <f t="shared" si="150"/>
        <v/>
      </c>
      <c r="H573" s="8" t="str" cm="1">
        <f t="array" ref="H573">GetColorMatchValue(F573, $F$3:$F$10)</f>
        <v/>
      </c>
      <c r="I573" s="99" t="str">
        <f>"&lt;tr&gt;&lt;th colspan=""3""&gt;&lt;label&gt;"&amp;D572&amp;"&lt;input type=""checkbox"" class=""section-toggle"" data-section="""&amp;A572&amp;B572&amp;C572&amp;"""/&gt;&lt;/label&gt;&lt;/th&gt;&lt;/tr&gt;"</f>
        <v>&lt;tr&gt;&lt;th colspan="3"&gt;&lt;label&gt;&lt;input type="checkbox" class="section-toggle" data-section="621"/&gt;&lt;/label&gt;&lt;/th&gt;&lt;/tr&gt;</v>
      </c>
    </row>
    <row r="574" spans="1:9" ht="15" customHeight="1" x14ac:dyDescent="0.25">
      <c r="A574" s="8">
        <v>6</v>
      </c>
      <c r="B574" s="8">
        <v>2</v>
      </c>
      <c r="C574" s="8">
        <v>2</v>
      </c>
      <c r="D574" s="94" t="s">
        <v>261</v>
      </c>
      <c r="E574" s="7">
        <v>0.6</v>
      </c>
      <c r="F574" s="73">
        <f t="shared" ref="F574:F576" si="156">$E$7*E574</f>
        <v>57</v>
      </c>
      <c r="G574" s="8">
        <f t="shared" si="150"/>
        <v>60</v>
      </c>
      <c r="H574" s="8" t="str" cm="1">
        <f t="array" ref="H574">GetColorMatchValue(F574, $F$3:$F$10)</f>
        <v>s</v>
      </c>
      <c r="I574" s="101" t="str">
        <f t="shared" ref="I574:I576" si="157">"&lt;tr data-section="""&amp;A573&amp;B573&amp;C573&amp;"""&gt;&lt;td&gt;"&amp;D573&amp;"&lt;/td&gt;&lt;td&gt;"&amp;G573&amp;"%&lt;/td&gt;&lt;td&gt;${percent("&amp;H573&amp;", "&amp;G573&amp;")}kg&lt;/td&gt;&lt;/tr&gt;"</f>
        <v>&lt;tr data-section="622"&gt;&lt;td&gt;Power Snatch + Overhead Squat&lt;/td&gt;&lt;td&gt;%&lt;/td&gt;&lt;td&gt;${percent(, )}kg&lt;/td&gt;&lt;/tr&gt;</v>
      </c>
    </row>
    <row r="575" spans="1:9" ht="15" customHeight="1" x14ac:dyDescent="0.25">
      <c r="A575" s="8">
        <v>6</v>
      </c>
      <c r="B575" s="8">
        <v>2</v>
      </c>
      <c r="C575" s="8">
        <v>2</v>
      </c>
      <c r="D575" s="94" t="s">
        <v>261</v>
      </c>
      <c r="E575" s="7">
        <v>0.65</v>
      </c>
      <c r="F575" s="73">
        <f t="shared" si="156"/>
        <v>61.75</v>
      </c>
      <c r="G575" s="8">
        <f t="shared" si="150"/>
        <v>65</v>
      </c>
      <c r="H575" s="8" t="str" cm="1">
        <f t="array" ref="H575">GetColorMatchValue(F575, $F$3:$F$10)</f>
        <v>s</v>
      </c>
      <c r="I575" s="101" t="str">
        <f t="shared" si="157"/>
        <v>&lt;tr data-section="622"&gt;&lt;td&gt;1 Set of 3 P.Sn. + 3 Oh.S.&lt;/td&gt;&lt;td&gt;60%&lt;/td&gt;&lt;td&gt;${percent(s, 60)}kg&lt;/td&gt;&lt;/tr&gt;</v>
      </c>
    </row>
    <row r="576" spans="1:9" ht="15" customHeight="1" x14ac:dyDescent="0.25">
      <c r="A576" s="8">
        <v>6</v>
      </c>
      <c r="B576" s="8">
        <v>2</v>
      </c>
      <c r="C576" s="8">
        <v>2</v>
      </c>
      <c r="D576" s="94" t="s">
        <v>260</v>
      </c>
      <c r="E576" s="7">
        <v>0.7</v>
      </c>
      <c r="F576" s="73">
        <f t="shared" si="156"/>
        <v>66.5</v>
      </c>
      <c r="G576" s="8">
        <f t="shared" si="150"/>
        <v>70</v>
      </c>
      <c r="H576" s="8" t="str" cm="1">
        <f t="array" ref="H576">GetColorMatchValue(F576, $F$3:$F$10)</f>
        <v>s</v>
      </c>
      <c r="I576" s="101" t="str">
        <f t="shared" si="157"/>
        <v>&lt;tr data-section="622"&gt;&lt;td&gt;1 Set of 3 P.Sn. + 3 Oh.S.&lt;/td&gt;&lt;td&gt;65%&lt;/td&gt;&lt;td&gt;${percent(s, 65)}kg&lt;/td&gt;&lt;/tr&gt;</v>
      </c>
    </row>
    <row r="577" spans="1:9" ht="15" customHeight="1" x14ac:dyDescent="0.25">
      <c r="A577" s="8">
        <v>6</v>
      </c>
      <c r="B577" s="8">
        <v>2</v>
      </c>
      <c r="C577" s="8">
        <v>2</v>
      </c>
      <c r="D577" s="94"/>
      <c r="E577" s="8"/>
      <c r="F577" s="71"/>
      <c r="G577" s="8" t="str">
        <f t="shared" si="150"/>
        <v/>
      </c>
      <c r="H577" s="8" t="str" cm="1">
        <f t="array" ref="H577">GetColorMatchValue(F577, $F$3:$F$10)</f>
        <v/>
      </c>
      <c r="I577" s="96" t="s">
        <v>287</v>
      </c>
    </row>
    <row r="578" spans="1:9" ht="15" customHeight="1" x14ac:dyDescent="0.25">
      <c r="A578" s="8">
        <v>6</v>
      </c>
      <c r="B578" s="8">
        <v>2</v>
      </c>
      <c r="C578" s="8">
        <v>3</v>
      </c>
      <c r="D578" s="93" t="s">
        <v>30</v>
      </c>
      <c r="E578" s="8"/>
      <c r="F578" s="71"/>
      <c r="G578" s="8" t="str">
        <f t="shared" si="150"/>
        <v/>
      </c>
      <c r="H578" s="8" t="str" cm="1">
        <f t="array" ref="H578">GetColorMatchValue(F578, $F$3:$F$10)</f>
        <v/>
      </c>
      <c r="I578" s="99" t="str">
        <f>"&lt;tr&gt;&lt;th colspan=""3""&gt;&lt;label&gt;"&amp;D577&amp;"&lt;input type=""checkbox"" class=""section-toggle"" data-section="""&amp;A577&amp;B577&amp;C577&amp;"""/&gt;&lt;/label&gt;&lt;/th&gt;&lt;/tr&gt;"</f>
        <v>&lt;tr&gt;&lt;th colspan="3"&gt;&lt;label&gt;&lt;input type="checkbox" class="section-toggle" data-section="622"/&gt;&lt;/label&gt;&lt;/th&gt;&lt;/tr&gt;</v>
      </c>
    </row>
    <row r="579" spans="1:9" ht="15" customHeight="1" x14ac:dyDescent="0.25">
      <c r="A579" s="8">
        <v>6</v>
      </c>
      <c r="B579" s="8">
        <v>2</v>
      </c>
      <c r="C579" s="8">
        <v>3</v>
      </c>
      <c r="D579" s="94" t="s">
        <v>259</v>
      </c>
      <c r="E579" s="7">
        <v>0.6</v>
      </c>
      <c r="F579" s="77">
        <f t="shared" ref="F579:F581" si="158">$E$8*E579</f>
        <v>69</v>
      </c>
      <c r="G579" s="8">
        <f t="shared" si="150"/>
        <v>60</v>
      </c>
      <c r="H579" s="8" t="str" cm="1">
        <f t="array" ref="H579">GetColorMatchValue(F579, $F$3:$F$10)</f>
        <v>cj</v>
      </c>
      <c r="I579" s="101" t="str">
        <f t="shared" ref="I579:I581" si="159">"&lt;tr data-section="""&amp;A578&amp;B578&amp;C578&amp;"""&gt;&lt;td&gt;"&amp;D578&amp;"&lt;/td&gt;&lt;td&gt;"&amp;G578&amp;"%&lt;/td&gt;&lt;td&gt;${percent("&amp;H578&amp;", "&amp;G578&amp;")}kg&lt;/td&gt;&lt;/tr&gt;"</f>
        <v>&lt;tr data-section="623"&gt;&lt;td&gt;Power Clean + Push Jerk&lt;/td&gt;&lt;td&gt;%&lt;/td&gt;&lt;td&gt;${percent(, )}kg&lt;/td&gt;&lt;/tr&gt;</v>
      </c>
    </row>
    <row r="580" spans="1:9" ht="15" customHeight="1" x14ac:dyDescent="0.25">
      <c r="A580" s="8">
        <v>6</v>
      </c>
      <c r="B580" s="8">
        <v>2</v>
      </c>
      <c r="C580" s="8">
        <v>3</v>
      </c>
      <c r="D580" s="94" t="s">
        <v>259</v>
      </c>
      <c r="E580" s="7">
        <v>0.65</v>
      </c>
      <c r="F580" s="77">
        <f t="shared" si="158"/>
        <v>74.75</v>
      </c>
      <c r="G580" s="8">
        <f t="shared" si="150"/>
        <v>65</v>
      </c>
      <c r="H580" s="8" t="str" cm="1">
        <f t="array" ref="H580">GetColorMatchValue(F580, $F$3:$F$10)</f>
        <v>cj</v>
      </c>
      <c r="I580" s="101" t="str">
        <f t="shared" si="159"/>
        <v>&lt;tr data-section="623"&gt;&lt;td&gt;1 Set of 3 P.Cl. + 1 P.Jr.&lt;/td&gt;&lt;td&gt;60%&lt;/td&gt;&lt;td&gt;${percent(cj, 60)}kg&lt;/td&gt;&lt;/tr&gt;</v>
      </c>
    </row>
    <row r="581" spans="1:9" ht="15" customHeight="1" x14ac:dyDescent="0.25">
      <c r="A581" s="8">
        <v>6</v>
      </c>
      <c r="B581" s="8">
        <v>2</v>
      </c>
      <c r="C581" s="8">
        <v>3</v>
      </c>
      <c r="D581" s="94" t="s">
        <v>258</v>
      </c>
      <c r="E581" s="7">
        <v>0.7</v>
      </c>
      <c r="F581" s="77">
        <f t="shared" si="158"/>
        <v>80.5</v>
      </c>
      <c r="G581" s="8">
        <f t="shared" si="150"/>
        <v>70</v>
      </c>
      <c r="H581" s="8" t="str" cm="1">
        <f t="array" ref="H581">GetColorMatchValue(F581, $F$3:$F$10)</f>
        <v>cj</v>
      </c>
      <c r="I581" s="101" t="str">
        <f t="shared" si="159"/>
        <v>&lt;tr data-section="623"&gt;&lt;td&gt;1 Set of 3 P.Cl. + 1 P.Jr.&lt;/td&gt;&lt;td&gt;65%&lt;/td&gt;&lt;td&gt;${percent(cj, 65)}kg&lt;/td&gt;&lt;/tr&gt;</v>
      </c>
    </row>
    <row r="582" spans="1:9" ht="15" customHeight="1" x14ac:dyDescent="0.25">
      <c r="A582" s="8">
        <v>6</v>
      </c>
      <c r="B582" s="8">
        <v>2</v>
      </c>
      <c r="C582" s="8">
        <v>3</v>
      </c>
      <c r="D582" s="94"/>
      <c r="E582" s="8"/>
      <c r="F582" s="71"/>
      <c r="G582" s="8" t="str">
        <f t="shared" si="150"/>
        <v/>
      </c>
      <c r="H582" s="8" t="str" cm="1">
        <f t="array" ref="H582">GetColorMatchValue(F582, $F$3:$F$10)</f>
        <v/>
      </c>
      <c r="I582" s="96" t="s">
        <v>287</v>
      </c>
    </row>
    <row r="583" spans="1:9" ht="15" customHeight="1" x14ac:dyDescent="0.25">
      <c r="A583" s="8">
        <v>6</v>
      </c>
      <c r="B583" s="8">
        <v>2</v>
      </c>
      <c r="C583" s="8">
        <v>4</v>
      </c>
      <c r="D583" s="93" t="s">
        <v>89</v>
      </c>
      <c r="E583" s="8"/>
      <c r="F583" s="71"/>
      <c r="G583" s="8" t="str">
        <f t="shared" si="150"/>
        <v/>
      </c>
      <c r="H583" s="8" t="str" cm="1">
        <f t="array" ref="H583">GetColorMatchValue(F583, $F$3:$F$10)</f>
        <v/>
      </c>
      <c r="I583" s="99" t="str">
        <f>"&lt;tr&gt;&lt;th colspan=""3""&gt;&lt;label&gt;"&amp;D582&amp;"&lt;input type=""checkbox"" class=""section-toggle"" data-section="""&amp;A582&amp;B582&amp;C582&amp;"""/&gt;&lt;/label&gt;&lt;/th&gt;&lt;/tr&gt;"</f>
        <v>&lt;tr&gt;&lt;th colspan="3"&gt;&lt;label&gt;&lt;input type="checkbox" class="section-toggle" data-section="623"/&gt;&lt;/label&gt;&lt;/th&gt;&lt;/tr&gt;</v>
      </c>
    </row>
    <row r="584" spans="1:9" ht="15" customHeight="1" x14ac:dyDescent="0.25">
      <c r="A584" s="8">
        <v>6</v>
      </c>
      <c r="B584" s="8">
        <v>2</v>
      </c>
      <c r="C584" s="8">
        <v>4</v>
      </c>
      <c r="D584" s="94" t="s">
        <v>220</v>
      </c>
      <c r="E584" s="7">
        <v>0.8</v>
      </c>
      <c r="F584" s="75">
        <f t="shared" ref="F584:F588" si="160">$E$6*E584</f>
        <v>88</v>
      </c>
      <c r="G584" s="8">
        <f t="shared" si="150"/>
        <v>80</v>
      </c>
      <c r="H584" s="8" t="str" cm="1">
        <f t="array" ref="H584">GetColorMatchValue(F584, $F$3:$F$10)</f>
        <v>c</v>
      </c>
      <c r="I584" s="101" t="str">
        <f t="shared" ref="I584:I588" si="161">"&lt;tr data-section="""&amp;A583&amp;B583&amp;C583&amp;"""&gt;&lt;td&gt;"&amp;D583&amp;"&lt;/td&gt;&lt;td&gt;"&amp;G583&amp;"%&lt;/td&gt;&lt;td&gt;${percent("&amp;H583&amp;", "&amp;G583&amp;")}kg&lt;/td&gt;&lt;/tr&gt;"</f>
        <v>&lt;tr data-section="624"&gt;&lt;td&gt;Clean Pull &lt;/td&gt;&lt;td&gt;%&lt;/td&gt;&lt;td&gt;${percent(, )}kg&lt;/td&gt;&lt;/tr&gt;</v>
      </c>
    </row>
    <row r="585" spans="1:9" ht="15" customHeight="1" x14ac:dyDescent="0.25">
      <c r="A585" s="8">
        <v>6</v>
      </c>
      <c r="B585" s="8">
        <v>2</v>
      </c>
      <c r="C585" s="8">
        <v>4</v>
      </c>
      <c r="D585" s="94" t="s">
        <v>220</v>
      </c>
      <c r="E585" s="7">
        <v>0.9</v>
      </c>
      <c r="F585" s="75">
        <f t="shared" si="160"/>
        <v>99</v>
      </c>
      <c r="G585" s="8">
        <f t="shared" si="150"/>
        <v>90</v>
      </c>
      <c r="H585" s="8" t="str" cm="1">
        <f t="array" ref="H585">GetColorMatchValue(F585, $F$3:$F$10)</f>
        <v>c</v>
      </c>
      <c r="I585" s="101" t="str">
        <f t="shared" si="161"/>
        <v>&lt;tr data-section="624"&gt;&lt;td&gt;1 Set of 4 Reps&lt;/td&gt;&lt;td&gt;80%&lt;/td&gt;&lt;td&gt;${percent(c, 80)}kg&lt;/td&gt;&lt;/tr&gt;</v>
      </c>
    </row>
    <row r="586" spans="1:9" ht="15" customHeight="1" x14ac:dyDescent="0.25">
      <c r="A586" s="8">
        <v>6</v>
      </c>
      <c r="B586" s="8">
        <v>2</v>
      </c>
      <c r="C586" s="8">
        <v>4</v>
      </c>
      <c r="D586" s="94" t="s">
        <v>213</v>
      </c>
      <c r="E586" s="7">
        <v>1</v>
      </c>
      <c r="F586" s="75">
        <f t="shared" si="160"/>
        <v>110</v>
      </c>
      <c r="G586" s="8">
        <f t="shared" si="150"/>
        <v>100</v>
      </c>
      <c r="H586" s="8" t="str" cm="1">
        <f t="array" ref="H586">GetColorMatchValue(F586, $F$3:$F$10)</f>
        <v>c</v>
      </c>
      <c r="I586" s="101" t="str">
        <f t="shared" si="161"/>
        <v>&lt;tr data-section="624"&gt;&lt;td&gt;1 Set of 4 Reps&lt;/td&gt;&lt;td&gt;90%&lt;/td&gt;&lt;td&gt;${percent(c, 90)}kg&lt;/td&gt;&lt;/tr&gt;</v>
      </c>
    </row>
    <row r="587" spans="1:9" ht="15" customHeight="1" x14ac:dyDescent="0.25">
      <c r="A587" s="8">
        <v>6</v>
      </c>
      <c r="B587" s="8">
        <v>2</v>
      </c>
      <c r="C587" s="8">
        <v>4</v>
      </c>
      <c r="D587" s="94" t="s">
        <v>213</v>
      </c>
      <c r="E587" s="7">
        <v>0.85</v>
      </c>
      <c r="F587" s="75">
        <f t="shared" si="160"/>
        <v>93.5</v>
      </c>
      <c r="G587" s="8">
        <f t="shared" si="150"/>
        <v>85</v>
      </c>
      <c r="H587" s="8" t="str" cm="1">
        <f t="array" ref="H587">GetColorMatchValue(F587, $F$3:$F$10)</f>
        <v>c</v>
      </c>
      <c r="I587" s="101" t="str">
        <f t="shared" si="161"/>
        <v>&lt;tr data-section="624"&gt;&lt;td&gt;1 Set of 3 Reps&lt;/td&gt;&lt;td&gt;100%&lt;/td&gt;&lt;td&gt;${percent(c, 100)}kg&lt;/td&gt;&lt;/tr&gt;</v>
      </c>
    </row>
    <row r="588" spans="1:9" ht="15" customHeight="1" x14ac:dyDescent="0.25">
      <c r="A588" s="8">
        <v>6</v>
      </c>
      <c r="B588" s="8">
        <v>2</v>
      </c>
      <c r="C588" s="8">
        <v>4</v>
      </c>
      <c r="D588" s="94" t="s">
        <v>213</v>
      </c>
      <c r="E588" s="7">
        <v>0.9</v>
      </c>
      <c r="F588" s="75">
        <f t="shared" si="160"/>
        <v>99</v>
      </c>
      <c r="G588" s="8">
        <f t="shared" si="150"/>
        <v>90</v>
      </c>
      <c r="H588" s="8" t="str" cm="1">
        <f t="array" ref="H588">GetColorMatchValue(F588, $F$3:$F$10)</f>
        <v>c</v>
      </c>
      <c r="I588" s="101" t="str">
        <f t="shared" si="161"/>
        <v>&lt;tr data-section="624"&gt;&lt;td&gt;1 Set of 3 Reps&lt;/td&gt;&lt;td&gt;85%&lt;/td&gt;&lt;td&gt;${percent(c, 85)}kg&lt;/td&gt;&lt;/tr&gt;</v>
      </c>
    </row>
    <row r="589" spans="1:9" ht="15" customHeight="1" x14ac:dyDescent="0.25">
      <c r="A589" s="8">
        <v>6</v>
      </c>
      <c r="B589" s="8">
        <v>2</v>
      </c>
      <c r="C589" s="8">
        <v>4</v>
      </c>
      <c r="D589" s="94"/>
      <c r="E589" s="8"/>
      <c r="F589" s="71"/>
      <c r="G589" s="8" t="str">
        <f t="shared" si="150"/>
        <v/>
      </c>
      <c r="H589" s="8" t="str" cm="1">
        <f t="array" ref="H589">GetColorMatchValue(F589, $F$3:$F$10)</f>
        <v/>
      </c>
      <c r="I589" s="96" t="s">
        <v>287</v>
      </c>
    </row>
    <row r="590" spans="1:9" ht="15" customHeight="1" x14ac:dyDescent="0.25">
      <c r="A590" s="8">
        <v>6</v>
      </c>
      <c r="B590" s="8">
        <v>2</v>
      </c>
      <c r="C590" s="8">
        <v>5</v>
      </c>
      <c r="D590" s="93" t="s">
        <v>81</v>
      </c>
      <c r="E590" s="8"/>
      <c r="F590" s="71"/>
      <c r="G590" s="8" t="str">
        <f t="shared" si="150"/>
        <v/>
      </c>
      <c r="H590" s="8" t="str" cm="1">
        <f t="array" ref="H590">GetColorMatchValue(F590, $F$3:$F$10)</f>
        <v/>
      </c>
      <c r="I590" s="99" t="str">
        <f>"&lt;tr&gt;&lt;th colspan=""3""&gt;&lt;label&gt;"&amp;D589&amp;"&lt;input type=""checkbox"" class=""section-toggle"" data-section="""&amp;A589&amp;B589&amp;C589&amp;"""/&gt;&lt;/label&gt;&lt;/th&gt;&lt;/tr&gt;"</f>
        <v>&lt;tr&gt;&lt;th colspan="3"&gt;&lt;label&gt;&lt;input type="checkbox" class="section-toggle" data-section="624"/&gt;&lt;/label&gt;&lt;/th&gt;&lt;/tr&gt;</v>
      </c>
    </row>
    <row r="591" spans="1:9" ht="15" customHeight="1" x14ac:dyDescent="0.25">
      <c r="A591" s="95">
        <v>6</v>
      </c>
      <c r="B591" s="95">
        <v>2</v>
      </c>
      <c r="C591" s="8">
        <v>5</v>
      </c>
      <c r="D591" s="94" t="s">
        <v>203</v>
      </c>
      <c r="E591" s="94" t="s">
        <v>197</v>
      </c>
      <c r="F591" s="71"/>
      <c r="G591" s="8" t="str">
        <f t="shared" si="150"/>
        <v/>
      </c>
      <c r="H591" s="8" t="str" cm="1">
        <f t="array" ref="H591">GetColorMatchValue(F591, $F$3:$F$10)</f>
        <v/>
      </c>
      <c r="I591" s="104" t="str">
        <f>"&lt;tr data-section="""&amp;A590&amp;B590&amp;C590&amp;"""&gt;&lt;td colspan=""3""&gt;"&amp;D590&amp;" "&amp;E590&amp;"&lt;/td&gt;&lt;/tr&gt;"</f>
        <v>&lt;tr data-section="625"&gt;&lt;td colspan="3"&gt;Behind the Neck Snatch Grip Press &lt;/td&gt;&lt;/tr&gt;</v>
      </c>
    </row>
    <row r="592" spans="1:9" ht="15" customHeight="1" x14ac:dyDescent="0.25">
      <c r="A592" s="8">
        <v>6</v>
      </c>
      <c r="B592" s="8">
        <v>3</v>
      </c>
      <c r="C592" s="8">
        <v>1</v>
      </c>
      <c r="D592" s="93" t="s">
        <v>34</v>
      </c>
      <c r="E592" s="8"/>
      <c r="F592" s="71"/>
      <c r="G592" s="8" t="str">
        <f t="shared" si="150"/>
        <v/>
      </c>
      <c r="H592" s="8" t="str" cm="1">
        <f t="array" ref="H592">GetColorMatchValue(F592, $F$3:$F$10)</f>
        <v/>
      </c>
      <c r="I592" s="99" t="str">
        <f>"&lt;tr&gt;&lt;th colspan=""3""&gt;&lt;label&gt;"&amp;D591&amp;"&lt;input type=""checkbox"" class=""section-toggle"" data-section="""&amp;A591&amp;B591&amp;C591&amp;"""/&gt;&lt;/label&gt;&lt;/th&gt;&lt;/tr&gt;"</f>
        <v>&lt;tr&gt;&lt;th colspan="3"&gt;&lt;label&gt;4 Sets of 5 Reps&lt;input type="checkbox" class="section-toggle" data-section="625"/&gt;&lt;/label&gt;&lt;/th&gt;&lt;/tr&gt;</v>
      </c>
    </row>
    <row r="593" spans="1:9" ht="15" customHeight="1" x14ac:dyDescent="0.25">
      <c r="A593" s="8">
        <v>6</v>
      </c>
      <c r="B593" s="8">
        <v>3</v>
      </c>
      <c r="C593" s="8">
        <v>1</v>
      </c>
      <c r="D593" s="94" t="s">
        <v>220</v>
      </c>
      <c r="E593" s="7">
        <v>0.6</v>
      </c>
      <c r="F593" s="79">
        <f t="shared" ref="F593:F600" si="162">$E$4*E593</f>
        <v>84</v>
      </c>
      <c r="G593" s="8">
        <f t="shared" si="150"/>
        <v>60</v>
      </c>
      <c r="H593" s="8" t="str" cm="1">
        <f t="array" ref="H593">GetColorMatchValue(F593, $F$3:$F$10)</f>
        <v>fs</v>
      </c>
      <c r="I593" s="101" t="str">
        <f t="shared" ref="I593:I600" si="163">"&lt;tr data-section="""&amp;A592&amp;B592&amp;C592&amp;"""&gt;&lt;td&gt;"&amp;D592&amp;"&lt;/td&gt;&lt;td&gt;"&amp;G592&amp;"%&lt;/td&gt;&lt;td&gt;${percent("&amp;H592&amp;", "&amp;G592&amp;")}kg&lt;/td&gt;&lt;/tr&gt;"</f>
        <v>&lt;tr data-section="631"&gt;&lt;td&gt;Front Squat&lt;/td&gt;&lt;td&gt;%&lt;/td&gt;&lt;td&gt;${percent(, )}kg&lt;/td&gt;&lt;/tr&gt;</v>
      </c>
    </row>
    <row r="594" spans="1:9" ht="15" customHeight="1" x14ac:dyDescent="0.25">
      <c r="A594" s="8">
        <v>6</v>
      </c>
      <c r="B594" s="8">
        <v>3</v>
      </c>
      <c r="C594" s="8">
        <v>1</v>
      </c>
      <c r="D594" s="94" t="s">
        <v>220</v>
      </c>
      <c r="E594" s="7">
        <v>0.7</v>
      </c>
      <c r="F594" s="79">
        <f t="shared" si="162"/>
        <v>98</v>
      </c>
      <c r="G594" s="8">
        <f t="shared" si="150"/>
        <v>70</v>
      </c>
      <c r="H594" s="8" t="str" cm="1">
        <f t="array" ref="H594">GetColorMatchValue(F594, $F$3:$F$10)</f>
        <v>fs</v>
      </c>
      <c r="I594" s="101" t="str">
        <f t="shared" si="163"/>
        <v>&lt;tr data-section="631"&gt;&lt;td&gt;1 Set of 4 Reps&lt;/td&gt;&lt;td&gt;60%&lt;/td&gt;&lt;td&gt;${percent(fs, 60)}kg&lt;/td&gt;&lt;/tr&gt;</v>
      </c>
    </row>
    <row r="595" spans="1:9" ht="15" customHeight="1" x14ac:dyDescent="0.25">
      <c r="A595" s="8">
        <v>6</v>
      </c>
      <c r="B595" s="8">
        <v>3</v>
      </c>
      <c r="C595" s="8">
        <v>1</v>
      </c>
      <c r="D595" s="94" t="s">
        <v>220</v>
      </c>
      <c r="E595" s="7">
        <v>0.8</v>
      </c>
      <c r="F595" s="79">
        <f t="shared" si="162"/>
        <v>112</v>
      </c>
      <c r="G595" s="8">
        <f t="shared" si="150"/>
        <v>80</v>
      </c>
      <c r="H595" s="8" t="str" cm="1">
        <f t="array" ref="H595">GetColorMatchValue(F595, $F$3:$F$10)</f>
        <v>fs</v>
      </c>
      <c r="I595" s="101" t="str">
        <f t="shared" si="163"/>
        <v>&lt;tr data-section="631"&gt;&lt;td&gt;1 Set of 4 Reps&lt;/td&gt;&lt;td&gt;70%&lt;/td&gt;&lt;td&gt;${percent(fs, 70)}kg&lt;/td&gt;&lt;/tr&gt;</v>
      </c>
    </row>
    <row r="596" spans="1:9" ht="15" customHeight="1" x14ac:dyDescent="0.25">
      <c r="A596" s="8">
        <v>6</v>
      </c>
      <c r="B596" s="8">
        <v>3</v>
      </c>
      <c r="C596" s="8">
        <v>1</v>
      </c>
      <c r="D596" s="94" t="s">
        <v>220</v>
      </c>
      <c r="E596" s="7">
        <v>0.85</v>
      </c>
      <c r="F596" s="79">
        <f t="shared" si="162"/>
        <v>119</v>
      </c>
      <c r="G596" s="8">
        <f t="shared" si="150"/>
        <v>85</v>
      </c>
      <c r="H596" s="8" t="str" cm="1">
        <f t="array" ref="H596">GetColorMatchValue(F596, $F$3:$F$10)</f>
        <v>fs</v>
      </c>
      <c r="I596" s="101" t="str">
        <f t="shared" si="163"/>
        <v>&lt;tr data-section="631"&gt;&lt;td&gt;1 Set of 4 Reps&lt;/td&gt;&lt;td&gt;80%&lt;/td&gt;&lt;td&gt;${percent(fs, 80)}kg&lt;/td&gt;&lt;/tr&gt;</v>
      </c>
    </row>
    <row r="597" spans="1:9" ht="15" customHeight="1" x14ac:dyDescent="0.25">
      <c r="A597" s="8">
        <v>6</v>
      </c>
      <c r="B597" s="8">
        <v>3</v>
      </c>
      <c r="C597" s="8">
        <v>1</v>
      </c>
      <c r="D597" s="94" t="s">
        <v>213</v>
      </c>
      <c r="E597" s="7">
        <v>0.8</v>
      </c>
      <c r="F597" s="79">
        <f t="shared" si="162"/>
        <v>112</v>
      </c>
      <c r="G597" s="8">
        <f t="shared" si="150"/>
        <v>80</v>
      </c>
      <c r="H597" s="8" t="str" cm="1">
        <f t="array" ref="H597">GetColorMatchValue(F597, $F$3:$F$10)</f>
        <v>fs</v>
      </c>
      <c r="I597" s="101" t="str">
        <f t="shared" si="163"/>
        <v>&lt;tr data-section="631"&gt;&lt;td&gt;1 Set of 4 Reps&lt;/td&gt;&lt;td&gt;85%&lt;/td&gt;&lt;td&gt;${percent(fs, 85)}kg&lt;/td&gt;&lt;/tr&gt;</v>
      </c>
    </row>
    <row r="598" spans="1:9" ht="15" customHeight="1" x14ac:dyDescent="0.25">
      <c r="A598" s="8">
        <v>6</v>
      </c>
      <c r="B598" s="8">
        <v>3</v>
      </c>
      <c r="C598" s="8">
        <v>1</v>
      </c>
      <c r="D598" s="94" t="s">
        <v>213</v>
      </c>
      <c r="E598" s="7">
        <v>0.85</v>
      </c>
      <c r="F598" s="79">
        <f t="shared" si="162"/>
        <v>119</v>
      </c>
      <c r="G598" s="8">
        <f t="shared" si="150"/>
        <v>85</v>
      </c>
      <c r="H598" s="8" t="str" cm="1">
        <f t="array" ref="H598">GetColorMatchValue(F598, $F$3:$F$10)</f>
        <v>fs</v>
      </c>
      <c r="I598" s="101" t="str">
        <f t="shared" si="163"/>
        <v>&lt;tr data-section="631"&gt;&lt;td&gt;1 Set of 3 Reps&lt;/td&gt;&lt;td&gt;80%&lt;/td&gt;&lt;td&gt;${percent(fs, 80)}kg&lt;/td&gt;&lt;/tr&gt;</v>
      </c>
    </row>
    <row r="599" spans="1:9" ht="15" customHeight="1" x14ac:dyDescent="0.25">
      <c r="A599" s="8">
        <v>6</v>
      </c>
      <c r="B599" s="8">
        <v>3</v>
      </c>
      <c r="C599" s="8">
        <v>1</v>
      </c>
      <c r="D599" s="94" t="s">
        <v>213</v>
      </c>
      <c r="E599" s="7">
        <v>0.8</v>
      </c>
      <c r="F599" s="79">
        <f t="shared" si="162"/>
        <v>112</v>
      </c>
      <c r="G599" s="8">
        <f t="shared" si="150"/>
        <v>80</v>
      </c>
      <c r="H599" s="8" t="str" cm="1">
        <f t="array" ref="H599">GetColorMatchValue(F599, $F$3:$F$10)</f>
        <v>fs</v>
      </c>
      <c r="I599" s="101" t="str">
        <f t="shared" si="163"/>
        <v>&lt;tr data-section="631"&gt;&lt;td&gt;1 Set of 3 Reps&lt;/td&gt;&lt;td&gt;85%&lt;/td&gt;&lt;td&gt;${percent(fs, 85)}kg&lt;/td&gt;&lt;/tr&gt;</v>
      </c>
    </row>
    <row r="600" spans="1:9" ht="15" customHeight="1" x14ac:dyDescent="0.25">
      <c r="A600" s="8">
        <v>6</v>
      </c>
      <c r="B600" s="8">
        <v>3</v>
      </c>
      <c r="C600" s="8">
        <v>1</v>
      </c>
      <c r="D600" s="94" t="s">
        <v>213</v>
      </c>
      <c r="E600" s="7">
        <v>0.85</v>
      </c>
      <c r="F600" s="79">
        <f t="shared" si="162"/>
        <v>119</v>
      </c>
      <c r="G600" s="8">
        <f t="shared" si="150"/>
        <v>85</v>
      </c>
      <c r="H600" s="8" t="str" cm="1">
        <f t="array" ref="H600">GetColorMatchValue(F600, $F$3:$F$10)</f>
        <v>fs</v>
      </c>
      <c r="I600" s="101" t="str">
        <f t="shared" si="163"/>
        <v>&lt;tr data-section="631"&gt;&lt;td&gt;1 Set of 3 Reps&lt;/td&gt;&lt;td&gt;80%&lt;/td&gt;&lt;td&gt;${percent(fs, 80)}kg&lt;/td&gt;&lt;/tr&gt;</v>
      </c>
    </row>
    <row r="601" spans="1:9" ht="15" customHeight="1" x14ac:dyDescent="0.25">
      <c r="A601" s="8">
        <v>6</v>
      </c>
      <c r="B601" s="8">
        <v>3</v>
      </c>
      <c r="C601" s="8">
        <v>1</v>
      </c>
      <c r="D601" s="94"/>
      <c r="E601" s="8"/>
      <c r="F601" s="71"/>
      <c r="G601" s="8" t="str">
        <f t="shared" si="150"/>
        <v/>
      </c>
      <c r="H601" s="8" t="str" cm="1">
        <f t="array" ref="H601">GetColorMatchValue(F601, $F$3:$F$10)</f>
        <v/>
      </c>
      <c r="I601" s="96" t="s">
        <v>287</v>
      </c>
    </row>
    <row r="602" spans="1:9" ht="15" customHeight="1" x14ac:dyDescent="0.25">
      <c r="A602" s="8">
        <v>6</v>
      </c>
      <c r="B602" s="8">
        <v>3</v>
      </c>
      <c r="C602" s="8">
        <v>2</v>
      </c>
      <c r="D602" s="93" t="s">
        <v>42</v>
      </c>
      <c r="E602" s="8"/>
      <c r="F602" s="71"/>
      <c r="G602" s="8" t="str">
        <f t="shared" si="150"/>
        <v/>
      </c>
      <c r="H602" s="8" t="str" cm="1">
        <f t="array" ref="H602">GetColorMatchValue(F602, $F$3:$F$10)</f>
        <v/>
      </c>
      <c r="I602" s="99" t="str">
        <f>"&lt;tr&gt;&lt;th colspan=""3""&gt;&lt;label&gt;"&amp;D601&amp;"&lt;input type=""checkbox"" class=""section-toggle"" data-section="""&amp;A601&amp;B601&amp;C601&amp;"""/&gt;&lt;/label&gt;&lt;/th&gt;&lt;/tr&gt;"</f>
        <v>&lt;tr&gt;&lt;th colspan="3"&gt;&lt;label&gt;&lt;input type="checkbox" class="section-toggle" data-section="631"/&gt;&lt;/label&gt;&lt;/th&gt;&lt;/tr&gt;</v>
      </c>
    </row>
    <row r="603" spans="1:9" ht="15" customHeight="1" x14ac:dyDescent="0.25">
      <c r="A603" s="8">
        <v>6</v>
      </c>
      <c r="B603" s="8">
        <v>3</v>
      </c>
      <c r="C603" s="8">
        <v>2</v>
      </c>
      <c r="D603" s="94" t="s">
        <v>213</v>
      </c>
      <c r="E603" s="7">
        <v>0.6</v>
      </c>
      <c r="F603" s="73">
        <f t="shared" ref="F603:F608" si="164">$E$7*E603</f>
        <v>57</v>
      </c>
      <c r="G603" s="8">
        <f t="shared" si="150"/>
        <v>60</v>
      </c>
      <c r="H603" s="8" t="str" cm="1">
        <f t="array" ref="H603">GetColorMatchValue(F603, $F$3:$F$10)</f>
        <v>s</v>
      </c>
      <c r="I603" s="101" t="str">
        <f t="shared" ref="I603:I608" si="165">"&lt;tr data-section="""&amp;A602&amp;B602&amp;C602&amp;"""&gt;&lt;td&gt;"&amp;D602&amp;"&lt;/td&gt;&lt;td&gt;"&amp;G602&amp;"%&lt;/td&gt;&lt;td&gt;${percent("&amp;H602&amp;", "&amp;G602&amp;")}kg&lt;/td&gt;&lt;/tr&gt;"</f>
        <v>&lt;tr data-section="632"&gt;&lt;td&gt;Snatch&lt;/td&gt;&lt;td&gt;%&lt;/td&gt;&lt;td&gt;${percent(, )}kg&lt;/td&gt;&lt;/tr&gt;</v>
      </c>
    </row>
    <row r="604" spans="1:9" ht="15" customHeight="1" x14ac:dyDescent="0.25">
      <c r="A604" s="8">
        <v>6</v>
      </c>
      <c r="B604" s="8">
        <v>3</v>
      </c>
      <c r="C604" s="8">
        <v>2</v>
      </c>
      <c r="D604" s="94" t="s">
        <v>213</v>
      </c>
      <c r="E604" s="7">
        <v>0.7</v>
      </c>
      <c r="F604" s="73">
        <f t="shared" si="164"/>
        <v>66.5</v>
      </c>
      <c r="G604" s="8">
        <f t="shared" si="150"/>
        <v>70</v>
      </c>
      <c r="H604" s="8" t="str" cm="1">
        <f t="array" ref="H604">GetColorMatchValue(F604, $F$3:$F$10)</f>
        <v>s</v>
      </c>
      <c r="I604" s="101" t="str">
        <f t="shared" si="165"/>
        <v>&lt;tr data-section="632"&gt;&lt;td&gt;1 Set of 3 Reps&lt;/td&gt;&lt;td&gt;60%&lt;/td&gt;&lt;td&gt;${percent(s, 60)}kg&lt;/td&gt;&lt;/tr&gt;</v>
      </c>
    </row>
    <row r="605" spans="1:9" ht="15" customHeight="1" x14ac:dyDescent="0.25">
      <c r="A605" s="8">
        <v>6</v>
      </c>
      <c r="B605" s="8">
        <v>3</v>
      </c>
      <c r="C605" s="8">
        <v>2</v>
      </c>
      <c r="D605" s="94" t="s">
        <v>213</v>
      </c>
      <c r="E605" s="7">
        <v>0.8</v>
      </c>
      <c r="F605" s="73">
        <f t="shared" si="164"/>
        <v>76</v>
      </c>
      <c r="G605" s="8">
        <f t="shared" si="150"/>
        <v>80</v>
      </c>
      <c r="H605" s="8" t="str" cm="1">
        <f t="array" ref="H605">GetColorMatchValue(F605, $F$3:$F$10)</f>
        <v>s</v>
      </c>
      <c r="I605" s="101" t="str">
        <f t="shared" si="165"/>
        <v>&lt;tr data-section="632"&gt;&lt;td&gt;1 Set of 3 Reps&lt;/td&gt;&lt;td&gt;70%&lt;/td&gt;&lt;td&gt;${percent(s, 70)}kg&lt;/td&gt;&lt;/tr&gt;</v>
      </c>
    </row>
    <row r="606" spans="1:9" ht="15" customHeight="1" x14ac:dyDescent="0.25">
      <c r="A606" s="8">
        <v>6</v>
      </c>
      <c r="B606" s="8">
        <v>3</v>
      </c>
      <c r="C606" s="8">
        <v>2</v>
      </c>
      <c r="D606" s="94" t="s">
        <v>213</v>
      </c>
      <c r="E606" s="7">
        <v>0.85</v>
      </c>
      <c r="F606" s="73">
        <f t="shared" si="164"/>
        <v>80.75</v>
      </c>
      <c r="G606" s="8">
        <f t="shared" si="150"/>
        <v>85</v>
      </c>
      <c r="H606" s="8" t="str" cm="1">
        <f t="array" ref="H606">GetColorMatchValue(F606, $F$3:$F$10)</f>
        <v>s</v>
      </c>
      <c r="I606" s="101" t="str">
        <f t="shared" si="165"/>
        <v>&lt;tr data-section="632"&gt;&lt;td&gt;1 Set of 3 Reps&lt;/td&gt;&lt;td&gt;80%&lt;/td&gt;&lt;td&gt;${percent(s, 80)}kg&lt;/td&gt;&lt;/tr&gt;</v>
      </c>
    </row>
    <row r="607" spans="1:9" ht="15" customHeight="1" x14ac:dyDescent="0.25">
      <c r="A607" s="8">
        <v>6</v>
      </c>
      <c r="B607" s="8">
        <v>3</v>
      </c>
      <c r="C607" s="8">
        <v>2</v>
      </c>
      <c r="D607" s="94" t="s">
        <v>236</v>
      </c>
      <c r="E607" s="7">
        <v>0.9</v>
      </c>
      <c r="F607" s="73">
        <f t="shared" si="164"/>
        <v>85.5</v>
      </c>
      <c r="G607" s="8">
        <f t="shared" si="150"/>
        <v>90</v>
      </c>
      <c r="H607" s="8" t="str" cm="1">
        <f t="array" ref="H607">GetColorMatchValue(F607, $F$3:$F$10)</f>
        <v>s</v>
      </c>
      <c r="I607" s="101" t="str">
        <f t="shared" si="165"/>
        <v>&lt;tr data-section="632"&gt;&lt;td&gt;1 Set of 3 Reps&lt;/td&gt;&lt;td&gt;85%&lt;/td&gt;&lt;td&gt;${percent(s, 85)}kg&lt;/td&gt;&lt;/tr&gt;</v>
      </c>
    </row>
    <row r="608" spans="1:9" ht="15" customHeight="1" x14ac:dyDescent="0.25">
      <c r="A608" s="8">
        <v>6</v>
      </c>
      <c r="B608" s="8">
        <v>3</v>
      </c>
      <c r="C608" s="8">
        <v>2</v>
      </c>
      <c r="D608" s="94" t="s">
        <v>205</v>
      </c>
      <c r="E608" s="7">
        <v>0.8</v>
      </c>
      <c r="F608" s="73">
        <f t="shared" si="164"/>
        <v>76</v>
      </c>
      <c r="G608" s="8">
        <f t="shared" si="150"/>
        <v>80</v>
      </c>
      <c r="H608" s="8" t="str" cm="1">
        <f t="array" ref="H608">GetColorMatchValue(F608, $F$3:$F$10)</f>
        <v>s</v>
      </c>
      <c r="I608" s="101" t="str">
        <f t="shared" si="165"/>
        <v>&lt;tr data-section="632"&gt;&lt;td&gt;1 Set of 2 Reps&lt;/td&gt;&lt;td&gt;90%&lt;/td&gt;&lt;td&gt;${percent(s, 90)}kg&lt;/td&gt;&lt;/tr&gt;</v>
      </c>
    </row>
    <row r="609" spans="1:9" ht="15" customHeight="1" x14ac:dyDescent="0.25">
      <c r="A609" s="8">
        <v>6</v>
      </c>
      <c r="B609" s="8">
        <v>3</v>
      </c>
      <c r="C609" s="8">
        <v>2</v>
      </c>
      <c r="D609" s="94"/>
      <c r="E609" s="8"/>
      <c r="F609" s="71"/>
      <c r="G609" s="8" t="str">
        <f t="shared" si="150"/>
        <v/>
      </c>
      <c r="H609" s="8" t="str" cm="1">
        <f t="array" ref="H609">GetColorMatchValue(F609, $F$3:$F$10)</f>
        <v/>
      </c>
      <c r="I609" s="96" t="s">
        <v>287</v>
      </c>
    </row>
    <row r="610" spans="1:9" ht="15" customHeight="1" x14ac:dyDescent="0.25">
      <c r="A610" s="8">
        <v>6</v>
      </c>
      <c r="B610" s="8">
        <v>3</v>
      </c>
      <c r="C610" s="8">
        <v>3</v>
      </c>
      <c r="D610" s="93" t="s">
        <v>43</v>
      </c>
      <c r="E610" s="8"/>
      <c r="F610" s="71"/>
      <c r="G610" s="8" t="str">
        <f t="shared" si="150"/>
        <v/>
      </c>
      <c r="H610" s="8" t="str" cm="1">
        <f t="array" ref="H610">GetColorMatchValue(F610, $F$3:$F$10)</f>
        <v/>
      </c>
      <c r="I610" s="99" t="str">
        <f>"&lt;tr&gt;&lt;th colspan=""3""&gt;&lt;label&gt;"&amp;D609&amp;"&lt;input type=""checkbox"" class=""section-toggle"" data-section="""&amp;A609&amp;B609&amp;C609&amp;"""/&gt;&lt;/label&gt;&lt;/th&gt;&lt;/tr&gt;"</f>
        <v>&lt;tr&gt;&lt;th colspan="3"&gt;&lt;label&gt;&lt;input type="checkbox" class="section-toggle" data-section="632"/&gt;&lt;/label&gt;&lt;/th&gt;&lt;/tr&gt;</v>
      </c>
    </row>
    <row r="611" spans="1:9" ht="15" customHeight="1" x14ac:dyDescent="0.25">
      <c r="A611" s="8">
        <v>6</v>
      </c>
      <c r="B611" s="8">
        <v>3</v>
      </c>
      <c r="C611" s="8">
        <v>3</v>
      </c>
      <c r="D611" s="94" t="s">
        <v>231</v>
      </c>
      <c r="E611" s="7">
        <v>0.6</v>
      </c>
      <c r="F611" s="77">
        <f t="shared" ref="F611:F616" si="166">$E$8*E611</f>
        <v>69</v>
      </c>
      <c r="G611" s="8">
        <f t="shared" si="150"/>
        <v>60</v>
      </c>
      <c r="H611" s="8" t="str" cm="1">
        <f t="array" ref="H611">GetColorMatchValue(F611, $F$3:$F$10)</f>
        <v>cj</v>
      </c>
      <c r="I611" s="101" t="str">
        <f t="shared" ref="I611:I616" si="167">"&lt;tr data-section="""&amp;A610&amp;B610&amp;C610&amp;"""&gt;&lt;td&gt;"&amp;D610&amp;"&lt;/td&gt;&lt;td&gt;"&amp;G610&amp;"%&lt;/td&gt;&lt;td&gt;${percent("&amp;H610&amp;", "&amp;G610&amp;")}kg&lt;/td&gt;&lt;/tr&gt;"</f>
        <v>&lt;tr data-section="633"&gt;&lt;td&gt;Clean + Jerk&lt;/td&gt;&lt;td&gt;%&lt;/td&gt;&lt;td&gt;${percent(, )}kg&lt;/td&gt;&lt;/tr&gt;</v>
      </c>
    </row>
    <row r="612" spans="1:9" ht="15" customHeight="1" x14ac:dyDescent="0.25">
      <c r="A612" s="8">
        <v>6</v>
      </c>
      <c r="B612" s="8">
        <v>3</v>
      </c>
      <c r="C612" s="8">
        <v>3</v>
      </c>
      <c r="D612" s="94" t="s">
        <v>231</v>
      </c>
      <c r="E612" s="7">
        <v>0.7</v>
      </c>
      <c r="F612" s="77">
        <f t="shared" si="166"/>
        <v>80.5</v>
      </c>
      <c r="G612" s="8">
        <f t="shared" si="150"/>
        <v>70</v>
      </c>
      <c r="H612" s="8" t="str" cm="1">
        <f t="array" ref="H612">GetColorMatchValue(F612, $F$3:$F$10)</f>
        <v>cj</v>
      </c>
      <c r="I612" s="101" t="str">
        <f t="shared" si="167"/>
        <v>&lt;tr data-section="633"&gt;&lt;td&gt;1 Set of 3 Cl. + 1 Jr.&lt;/td&gt;&lt;td&gt;60%&lt;/td&gt;&lt;td&gt;${percent(cj, 60)}kg&lt;/td&gt;&lt;/tr&gt;</v>
      </c>
    </row>
    <row r="613" spans="1:9" ht="15" customHeight="1" x14ac:dyDescent="0.25">
      <c r="A613" s="8">
        <v>6</v>
      </c>
      <c r="B613" s="8">
        <v>3</v>
      </c>
      <c r="C613" s="8">
        <v>3</v>
      </c>
      <c r="D613" s="94" t="s">
        <v>231</v>
      </c>
      <c r="E613" s="7">
        <v>0.8</v>
      </c>
      <c r="F613" s="77">
        <f t="shared" si="166"/>
        <v>92</v>
      </c>
      <c r="G613" s="8">
        <f t="shared" ref="G613:G640" si="168">IF(ISNUMBER(E613), E613 * 100, "")</f>
        <v>80</v>
      </c>
      <c r="H613" s="8" t="str" cm="1">
        <f t="array" ref="H613">GetColorMatchValue(F613, $F$3:$F$10)</f>
        <v>cj</v>
      </c>
      <c r="I613" s="101" t="str">
        <f t="shared" si="167"/>
        <v>&lt;tr data-section="633"&gt;&lt;td&gt;1 Set of 3 Cl. + 1 Jr.&lt;/td&gt;&lt;td&gt;70%&lt;/td&gt;&lt;td&gt;${percent(cj, 70)}kg&lt;/td&gt;&lt;/tr&gt;</v>
      </c>
    </row>
    <row r="614" spans="1:9" ht="15" customHeight="1" x14ac:dyDescent="0.25">
      <c r="A614" s="8">
        <v>6</v>
      </c>
      <c r="B614" s="8">
        <v>3</v>
      </c>
      <c r="C614" s="8">
        <v>3</v>
      </c>
      <c r="D614" s="94" t="s">
        <v>231</v>
      </c>
      <c r="E614" s="7">
        <v>0.85</v>
      </c>
      <c r="F614" s="77">
        <f t="shared" si="166"/>
        <v>97.75</v>
      </c>
      <c r="G614" s="8">
        <f t="shared" si="168"/>
        <v>85</v>
      </c>
      <c r="H614" s="8" t="str" cm="1">
        <f t="array" ref="H614">GetColorMatchValue(F614, $F$3:$F$10)</f>
        <v>cj</v>
      </c>
      <c r="I614" s="101" t="str">
        <f t="shared" si="167"/>
        <v>&lt;tr data-section="633"&gt;&lt;td&gt;1 Set of 3 Cl. + 1 Jr.&lt;/td&gt;&lt;td&gt;80%&lt;/td&gt;&lt;td&gt;${percent(cj, 80)}kg&lt;/td&gt;&lt;/tr&gt;</v>
      </c>
    </row>
    <row r="615" spans="1:9" ht="15" customHeight="1" x14ac:dyDescent="0.25">
      <c r="A615" s="8">
        <v>6</v>
      </c>
      <c r="B615" s="8">
        <v>3</v>
      </c>
      <c r="C615" s="8">
        <v>3</v>
      </c>
      <c r="D615" s="94" t="s">
        <v>230</v>
      </c>
      <c r="E615" s="7">
        <v>0.9</v>
      </c>
      <c r="F615" s="77">
        <f t="shared" si="166"/>
        <v>103.5</v>
      </c>
      <c r="G615" s="8">
        <f t="shared" si="168"/>
        <v>90</v>
      </c>
      <c r="H615" s="8" t="str" cm="1">
        <f t="array" ref="H615">GetColorMatchValue(F615, $F$3:$F$10)</f>
        <v>cj</v>
      </c>
      <c r="I615" s="101" t="str">
        <f t="shared" si="167"/>
        <v>&lt;tr data-section="633"&gt;&lt;td&gt;1 Set of 3 Cl. + 1 Jr.&lt;/td&gt;&lt;td&gt;85%&lt;/td&gt;&lt;td&gt;${percent(cj, 85)}kg&lt;/td&gt;&lt;/tr&gt;</v>
      </c>
    </row>
    <row r="616" spans="1:9" ht="15" customHeight="1" x14ac:dyDescent="0.25">
      <c r="A616" s="8">
        <v>6</v>
      </c>
      <c r="B616" s="8">
        <v>3</v>
      </c>
      <c r="C616" s="8">
        <v>3</v>
      </c>
      <c r="D616" s="94" t="s">
        <v>229</v>
      </c>
      <c r="E616" s="7">
        <v>0.8</v>
      </c>
      <c r="F616" s="77">
        <f t="shared" si="166"/>
        <v>92</v>
      </c>
      <c r="G616" s="8">
        <f t="shared" si="168"/>
        <v>80</v>
      </c>
      <c r="H616" s="8" t="str" cm="1">
        <f t="array" ref="H616">GetColorMatchValue(F616, $F$3:$F$10)</f>
        <v>cj</v>
      </c>
      <c r="I616" s="101" t="str">
        <f t="shared" si="167"/>
        <v>&lt;tr data-section="633"&gt;&lt;td&gt;1 Set of 2 Cl. + 1 Jr.&lt;/td&gt;&lt;td&gt;90%&lt;/td&gt;&lt;td&gt;${percent(cj, 90)}kg&lt;/td&gt;&lt;/tr&gt;</v>
      </c>
    </row>
    <row r="617" spans="1:9" ht="15" customHeight="1" x14ac:dyDescent="0.25">
      <c r="A617" s="8">
        <v>6</v>
      </c>
      <c r="B617" s="8">
        <v>3</v>
      </c>
      <c r="C617" s="8">
        <v>3</v>
      </c>
      <c r="D617" s="94"/>
      <c r="E617" s="8"/>
      <c r="F617" s="71"/>
      <c r="G617" s="8" t="str">
        <f t="shared" si="168"/>
        <v/>
      </c>
      <c r="H617" s="8" t="str" cm="1">
        <f t="array" ref="H617">GetColorMatchValue(F617, $F$3:$F$10)</f>
        <v/>
      </c>
      <c r="I617" s="96" t="s">
        <v>287</v>
      </c>
    </row>
    <row r="618" spans="1:9" ht="15" customHeight="1" x14ac:dyDescent="0.25">
      <c r="A618" s="8">
        <v>6</v>
      </c>
      <c r="B618" s="8">
        <v>3</v>
      </c>
      <c r="C618" s="8">
        <v>4</v>
      </c>
      <c r="D618" s="93" t="s">
        <v>282</v>
      </c>
      <c r="E618" s="8"/>
      <c r="F618" s="71"/>
      <c r="G618" s="8" t="str">
        <f t="shared" si="168"/>
        <v/>
      </c>
      <c r="H618" s="8" t="str" cm="1">
        <f t="array" ref="H618">GetColorMatchValue(F618, $F$3:$F$10)</f>
        <v/>
      </c>
      <c r="I618" s="99" t="str">
        <f>"&lt;tr&gt;&lt;th colspan=""3""&gt;&lt;label&gt;"&amp;D617&amp;"&lt;input type=""checkbox"" class=""section-toggle"" data-section="""&amp;A617&amp;B617&amp;C617&amp;"""/&gt;&lt;/label&gt;&lt;/th&gt;&lt;/tr&gt;"</f>
        <v>&lt;tr&gt;&lt;th colspan="3"&gt;&lt;label&gt;&lt;input type="checkbox" class="section-toggle" data-section="633"/&gt;&lt;/label&gt;&lt;/th&gt;&lt;/tr&gt;</v>
      </c>
    </row>
    <row r="619" spans="1:9" ht="15" customHeight="1" x14ac:dyDescent="0.25">
      <c r="A619" s="8">
        <v>6</v>
      </c>
      <c r="B619" s="8">
        <v>3</v>
      </c>
      <c r="C619" s="8">
        <v>4</v>
      </c>
      <c r="D619" s="94" t="s">
        <v>220</v>
      </c>
      <c r="E619" s="7">
        <v>1</v>
      </c>
      <c r="F619" s="73">
        <f t="shared" ref="F619:F624" si="169">$E$7*E619</f>
        <v>95</v>
      </c>
      <c r="G619" s="8">
        <f t="shared" si="168"/>
        <v>100</v>
      </c>
      <c r="H619" s="8" t="str" cm="1">
        <f t="array" ref="H619">GetColorMatchValue(F619, $F$3:$F$10)</f>
        <v>s</v>
      </c>
      <c r="I619" s="101" t="str">
        <f t="shared" ref="I619:I624" si="170">"&lt;tr data-section="""&amp;A618&amp;B618&amp;C618&amp;"""&gt;&lt;td&gt;"&amp;D618&amp;"&lt;/td&gt;&lt;td&gt;"&amp;G618&amp;"%&lt;/td&gt;&lt;td&gt;${percent("&amp;H618&amp;", "&amp;G618&amp;")}kg&lt;/td&gt;&lt;/tr&gt;"</f>
        <v>&lt;tr data-section="634"&gt;&lt;td&gt;Snatch Deadlift from Blocks Below the Knee&lt;/td&gt;&lt;td&gt;%&lt;/td&gt;&lt;td&gt;${percent(, )}kg&lt;/td&gt;&lt;/tr&gt;</v>
      </c>
    </row>
    <row r="620" spans="1:9" ht="15" customHeight="1" x14ac:dyDescent="0.25">
      <c r="A620" s="8">
        <v>6</v>
      </c>
      <c r="B620" s="8">
        <v>3</v>
      </c>
      <c r="C620" s="8">
        <v>4</v>
      </c>
      <c r="D620" s="94" t="s">
        <v>220</v>
      </c>
      <c r="E620" s="7">
        <v>1.1000000000000001</v>
      </c>
      <c r="F620" s="73">
        <f t="shared" si="169"/>
        <v>104.50000000000001</v>
      </c>
      <c r="G620" s="8">
        <f t="shared" si="168"/>
        <v>110.00000000000001</v>
      </c>
      <c r="H620" s="8" t="str" cm="1">
        <f t="array" ref="H620">GetColorMatchValue(F620, $F$3:$F$10)</f>
        <v>s</v>
      </c>
      <c r="I620" s="101" t="str">
        <f t="shared" si="170"/>
        <v>&lt;tr data-section="634"&gt;&lt;td&gt;1 Set of 4 Reps&lt;/td&gt;&lt;td&gt;100%&lt;/td&gt;&lt;td&gt;${percent(s, 100)}kg&lt;/td&gt;&lt;/tr&gt;</v>
      </c>
    </row>
    <row r="621" spans="1:9" ht="15" customHeight="1" x14ac:dyDescent="0.25">
      <c r="A621" s="8">
        <v>6</v>
      </c>
      <c r="B621" s="8">
        <v>3</v>
      </c>
      <c r="C621" s="8">
        <v>4</v>
      </c>
      <c r="D621" s="94" t="s">
        <v>220</v>
      </c>
      <c r="E621" s="7">
        <v>1</v>
      </c>
      <c r="F621" s="73">
        <f t="shared" si="169"/>
        <v>95</v>
      </c>
      <c r="G621" s="8">
        <f t="shared" si="168"/>
        <v>100</v>
      </c>
      <c r="H621" s="8" t="str" cm="1">
        <f t="array" ref="H621">GetColorMatchValue(F621, $F$3:$F$10)</f>
        <v>s</v>
      </c>
      <c r="I621" s="101" t="str">
        <f t="shared" si="170"/>
        <v>&lt;tr data-section="634"&gt;&lt;td&gt;1 Set of 4 Reps&lt;/td&gt;&lt;td&gt;110%&lt;/td&gt;&lt;td&gt;${percent(s, 110)}kg&lt;/td&gt;&lt;/tr&gt;</v>
      </c>
    </row>
    <row r="622" spans="1:9" ht="15" customHeight="1" x14ac:dyDescent="0.25">
      <c r="A622" s="8">
        <v>6</v>
      </c>
      <c r="B622" s="8">
        <v>3</v>
      </c>
      <c r="C622" s="8">
        <v>4</v>
      </c>
      <c r="D622" s="94" t="s">
        <v>220</v>
      </c>
      <c r="E622" s="7">
        <v>1.1000000000000001</v>
      </c>
      <c r="F622" s="73">
        <f t="shared" si="169"/>
        <v>104.50000000000001</v>
      </c>
      <c r="G622" s="8">
        <f t="shared" si="168"/>
        <v>110.00000000000001</v>
      </c>
      <c r="H622" s="8" t="str" cm="1">
        <f t="array" ref="H622">GetColorMatchValue(F622, $F$3:$F$10)</f>
        <v>s</v>
      </c>
      <c r="I622" s="101" t="str">
        <f t="shared" si="170"/>
        <v>&lt;tr data-section="634"&gt;&lt;td&gt;1 Set of 4 Reps&lt;/td&gt;&lt;td&gt;100%&lt;/td&gt;&lt;td&gt;${percent(s, 100)}kg&lt;/td&gt;&lt;/tr&gt;</v>
      </c>
    </row>
    <row r="623" spans="1:9" ht="15" customHeight="1" x14ac:dyDescent="0.25">
      <c r="A623" s="8">
        <v>6</v>
      </c>
      <c r="B623" s="8">
        <v>3</v>
      </c>
      <c r="C623" s="8">
        <v>4</v>
      </c>
      <c r="D623" s="94" t="s">
        <v>220</v>
      </c>
      <c r="E623" s="7">
        <v>1</v>
      </c>
      <c r="F623" s="73">
        <f t="shared" si="169"/>
        <v>95</v>
      </c>
      <c r="G623" s="8">
        <f t="shared" si="168"/>
        <v>100</v>
      </c>
      <c r="H623" s="8" t="str" cm="1">
        <f t="array" ref="H623">GetColorMatchValue(F623, $F$3:$F$10)</f>
        <v>s</v>
      </c>
      <c r="I623" s="101" t="str">
        <f t="shared" si="170"/>
        <v>&lt;tr data-section="634"&gt;&lt;td&gt;1 Set of 4 Reps&lt;/td&gt;&lt;td&gt;110%&lt;/td&gt;&lt;td&gt;${percent(s, 110)}kg&lt;/td&gt;&lt;/tr&gt;</v>
      </c>
    </row>
    <row r="624" spans="1:9" ht="15" customHeight="1" x14ac:dyDescent="0.25">
      <c r="A624" s="8">
        <v>6</v>
      </c>
      <c r="B624" s="8">
        <v>3</v>
      </c>
      <c r="C624" s="8">
        <v>4</v>
      </c>
      <c r="D624" s="94" t="s">
        <v>220</v>
      </c>
      <c r="E624" s="7">
        <v>1.1000000000000001</v>
      </c>
      <c r="F624" s="73">
        <f t="shared" si="169"/>
        <v>104.50000000000001</v>
      </c>
      <c r="G624" s="8">
        <f t="shared" si="168"/>
        <v>110.00000000000001</v>
      </c>
      <c r="H624" s="8" t="str" cm="1">
        <f t="array" ref="H624">GetColorMatchValue(F624, $F$3:$F$10)</f>
        <v>s</v>
      </c>
      <c r="I624" s="101" t="str">
        <f t="shared" si="170"/>
        <v>&lt;tr data-section="634"&gt;&lt;td&gt;1 Set of 4 Reps&lt;/td&gt;&lt;td&gt;100%&lt;/td&gt;&lt;td&gt;${percent(s, 100)}kg&lt;/td&gt;&lt;/tr&gt;</v>
      </c>
    </row>
    <row r="625" spans="1:9" ht="15" customHeight="1" x14ac:dyDescent="0.25">
      <c r="A625" s="8">
        <v>6</v>
      </c>
      <c r="B625" s="8">
        <v>3</v>
      </c>
      <c r="C625" s="8">
        <v>4</v>
      </c>
      <c r="D625" s="94"/>
      <c r="E625" s="8"/>
      <c r="F625" s="71"/>
      <c r="G625" s="8" t="str">
        <f t="shared" si="168"/>
        <v/>
      </c>
      <c r="H625" s="8" t="str" cm="1">
        <f t="array" ref="H625">GetColorMatchValue(F625, $F$3:$F$10)</f>
        <v/>
      </c>
      <c r="I625" s="96" t="s">
        <v>287</v>
      </c>
    </row>
    <row r="626" spans="1:9" ht="15" customHeight="1" x14ac:dyDescent="0.25">
      <c r="A626" s="8">
        <v>6</v>
      </c>
      <c r="B626" s="8">
        <v>3</v>
      </c>
      <c r="C626" s="8">
        <v>5</v>
      </c>
      <c r="D626" s="93" t="s">
        <v>47</v>
      </c>
      <c r="E626" s="8"/>
      <c r="F626" s="71"/>
      <c r="G626" s="8" t="str">
        <f t="shared" si="168"/>
        <v/>
      </c>
      <c r="H626" s="8" t="str" cm="1">
        <f t="array" ref="H626">GetColorMatchValue(F626, $F$3:$F$10)</f>
        <v/>
      </c>
      <c r="I626" s="99" t="str">
        <f>"&lt;tr&gt;&lt;th colspan=""3""&gt;&lt;label&gt;"&amp;D625&amp;"&lt;input type=""checkbox"" class=""section-toggle"" data-section="""&amp;A625&amp;B625&amp;C625&amp;"""/&gt;&lt;/label&gt;&lt;/th&gt;&lt;/tr&gt;"</f>
        <v>&lt;tr&gt;&lt;th colspan="3"&gt;&lt;label&gt;&lt;input type="checkbox" class="section-toggle" data-section="634"/&gt;&lt;/label&gt;&lt;/th&gt;&lt;/tr&gt;</v>
      </c>
    </row>
    <row r="627" spans="1:9" ht="15" customHeight="1" x14ac:dyDescent="0.25">
      <c r="A627" s="95">
        <v>6</v>
      </c>
      <c r="B627" s="95">
        <v>3</v>
      </c>
      <c r="C627" s="8">
        <v>5</v>
      </c>
      <c r="D627" s="94" t="s">
        <v>203</v>
      </c>
      <c r="E627" s="94" t="s">
        <v>197</v>
      </c>
      <c r="F627" s="71"/>
      <c r="G627" s="8" t="str">
        <f t="shared" si="168"/>
        <v/>
      </c>
      <c r="H627" s="8" t="str" cm="1">
        <f t="array" ref="H627">GetColorMatchValue(F627, $F$3:$F$10)</f>
        <v/>
      </c>
      <c r="I627" s="104" t="str">
        <f>"&lt;tr data-section="""&amp;A626&amp;B626&amp;C626&amp;"""&gt;&lt;td colspan=""3""&gt;"&amp;D626&amp;" "&amp;E626&amp;"&lt;/td&gt;&lt;/tr&gt;"</f>
        <v>&lt;tr data-section="635"&gt;&lt;td colspan="3"&gt;Press &lt;/td&gt;&lt;/tr&gt;</v>
      </c>
    </row>
    <row r="628" spans="1:9" ht="15" customHeight="1" x14ac:dyDescent="0.25">
      <c r="A628" s="8">
        <v>6</v>
      </c>
      <c r="B628" s="8">
        <v>4</v>
      </c>
      <c r="C628" s="8">
        <v>1</v>
      </c>
      <c r="D628" s="93" t="s">
        <v>0</v>
      </c>
      <c r="E628" s="8"/>
      <c r="F628" s="71"/>
      <c r="G628" s="8" t="str">
        <f t="shared" si="168"/>
        <v/>
      </c>
      <c r="H628" s="8" t="str" cm="1">
        <f t="array" ref="H628">GetColorMatchValue(F628, $F$3:$F$10)</f>
        <v/>
      </c>
      <c r="I628" s="99" t="str">
        <f>"&lt;tr&gt;&lt;th colspan=""3""&gt;&lt;label&gt;"&amp;D627&amp;"&lt;input type=""checkbox"" class=""section-toggle"" data-section="""&amp;A627&amp;B627&amp;C627&amp;"""/&gt;&lt;/label&gt;&lt;/th&gt;&lt;/tr&gt;"</f>
        <v>&lt;tr&gt;&lt;th colspan="3"&gt;&lt;label&gt;4 Sets of 5 Reps&lt;input type="checkbox" class="section-toggle" data-section="635"/&gt;&lt;/label&gt;&lt;/th&gt;&lt;/tr&gt;</v>
      </c>
    </row>
    <row r="629" spans="1:9" ht="15" customHeight="1" x14ac:dyDescent="0.25">
      <c r="A629" s="8">
        <v>6</v>
      </c>
      <c r="B629" s="8">
        <v>4</v>
      </c>
      <c r="C629" s="8">
        <v>1</v>
      </c>
      <c r="D629" s="94" t="s">
        <v>213</v>
      </c>
      <c r="E629" s="7">
        <v>0.6</v>
      </c>
      <c r="F629" s="72">
        <f>$E$3*E629</f>
        <v>120</v>
      </c>
      <c r="G629" s="8">
        <f t="shared" si="168"/>
        <v>60</v>
      </c>
      <c r="H629" s="8" t="str" cm="1">
        <f t="array" ref="H629">GetColorMatchValue(F629, $F$3:$F$10)</f>
        <v>bs</v>
      </c>
      <c r="I629" s="101" t="str">
        <f t="shared" ref="I629:I632" si="171">"&lt;tr data-section="""&amp;A628&amp;B628&amp;C628&amp;"""&gt;&lt;td&gt;"&amp;D628&amp;"&lt;/td&gt;&lt;td&gt;"&amp;G628&amp;"%&lt;/td&gt;&lt;td&gt;${percent("&amp;H628&amp;", "&amp;G628&amp;")}kg&lt;/td&gt;&lt;/tr&gt;"</f>
        <v>&lt;tr data-section="641"&gt;&lt;td&gt;Back Squat&lt;/td&gt;&lt;td&gt;%&lt;/td&gt;&lt;td&gt;${percent(, )}kg&lt;/td&gt;&lt;/tr&gt;</v>
      </c>
    </row>
    <row r="630" spans="1:9" ht="15" customHeight="1" x14ac:dyDescent="0.25">
      <c r="A630" s="8">
        <v>6</v>
      </c>
      <c r="B630" s="8">
        <v>4</v>
      </c>
      <c r="C630" s="8">
        <v>1</v>
      </c>
      <c r="D630" s="94" t="s">
        <v>213</v>
      </c>
      <c r="E630" s="7">
        <v>0.7</v>
      </c>
      <c r="F630" s="72">
        <f>$E$3*E630</f>
        <v>140</v>
      </c>
      <c r="G630" s="8">
        <f t="shared" si="168"/>
        <v>70</v>
      </c>
      <c r="H630" s="8" t="str" cm="1">
        <f t="array" ref="H630">GetColorMatchValue(F630, $F$3:$F$10)</f>
        <v>bs</v>
      </c>
      <c r="I630" s="101" t="str">
        <f t="shared" si="171"/>
        <v>&lt;tr data-section="641"&gt;&lt;td&gt;1 Set of 3 Reps&lt;/td&gt;&lt;td&gt;60%&lt;/td&gt;&lt;td&gt;${percent(bs, 60)}kg&lt;/td&gt;&lt;/tr&gt;</v>
      </c>
    </row>
    <row r="631" spans="1:9" ht="15" customHeight="1" x14ac:dyDescent="0.25">
      <c r="A631" s="8">
        <v>6</v>
      </c>
      <c r="B631" s="8">
        <v>4</v>
      </c>
      <c r="C631" s="8">
        <v>1</v>
      </c>
      <c r="D631" s="94" t="s">
        <v>213</v>
      </c>
      <c r="E631" s="7">
        <v>0.8</v>
      </c>
      <c r="F631" s="72">
        <f>$E$3*E631</f>
        <v>160</v>
      </c>
      <c r="G631" s="8">
        <f t="shared" si="168"/>
        <v>80</v>
      </c>
      <c r="H631" s="8" t="str" cm="1">
        <f t="array" ref="H631">GetColorMatchValue(F631, $F$3:$F$10)</f>
        <v>bs</v>
      </c>
      <c r="I631" s="101" t="str">
        <f t="shared" si="171"/>
        <v>&lt;tr data-section="641"&gt;&lt;td&gt;1 Set of 3 Reps&lt;/td&gt;&lt;td&gt;70%&lt;/td&gt;&lt;td&gt;${percent(bs, 70)}kg&lt;/td&gt;&lt;/tr&gt;</v>
      </c>
    </row>
    <row r="632" spans="1:9" ht="15" customHeight="1" x14ac:dyDescent="0.25">
      <c r="A632" s="8">
        <v>6</v>
      </c>
      <c r="B632" s="8">
        <v>4</v>
      </c>
      <c r="C632" s="8">
        <v>1</v>
      </c>
      <c r="D632" s="94" t="s">
        <v>205</v>
      </c>
      <c r="E632" s="7">
        <v>0.85</v>
      </c>
      <c r="F632" s="72">
        <f>$E$3*E632</f>
        <v>170</v>
      </c>
      <c r="G632" s="8">
        <f t="shared" si="168"/>
        <v>85</v>
      </c>
      <c r="H632" s="8" t="str" cm="1">
        <f t="array" ref="H632">GetColorMatchValue(F632, $F$3:$F$10)</f>
        <v>bs</v>
      </c>
      <c r="I632" s="101" t="str">
        <f t="shared" si="171"/>
        <v>&lt;tr data-section="641"&gt;&lt;td&gt;1 Set of 3 Reps&lt;/td&gt;&lt;td&gt;80%&lt;/td&gt;&lt;td&gt;${percent(bs, 80)}kg&lt;/td&gt;&lt;/tr&gt;</v>
      </c>
    </row>
    <row r="633" spans="1:9" ht="15" customHeight="1" x14ac:dyDescent="0.25">
      <c r="A633" s="8">
        <v>6</v>
      </c>
      <c r="B633" s="8">
        <v>4</v>
      </c>
      <c r="C633" s="8">
        <v>1</v>
      </c>
      <c r="D633" s="94"/>
      <c r="E633" s="8"/>
      <c r="F633" s="71"/>
      <c r="G633" s="8" t="str">
        <f t="shared" si="168"/>
        <v/>
      </c>
      <c r="H633" s="8" t="str" cm="1">
        <f t="array" ref="H633">GetColorMatchValue(F633, $F$3:$F$10)</f>
        <v/>
      </c>
      <c r="I633" s="96" t="s">
        <v>287</v>
      </c>
    </row>
    <row r="634" spans="1:9" ht="15" customHeight="1" x14ac:dyDescent="0.25">
      <c r="A634" s="8">
        <v>6</v>
      </c>
      <c r="B634" s="8">
        <v>4</v>
      </c>
      <c r="C634" s="8">
        <v>2</v>
      </c>
      <c r="D634" s="93" t="s">
        <v>38</v>
      </c>
      <c r="E634" s="8"/>
      <c r="F634" s="71"/>
      <c r="G634" s="8" t="str">
        <f t="shared" si="168"/>
        <v/>
      </c>
      <c r="H634" s="8" t="str" cm="1">
        <f t="array" ref="H634">GetColorMatchValue(F634, $F$3:$F$10)</f>
        <v/>
      </c>
      <c r="I634" s="99" t="str">
        <f>"&lt;tr&gt;&lt;th colspan=""3""&gt;&lt;label&gt;"&amp;D633&amp;"&lt;input type=""checkbox"" class=""section-toggle"" data-section="""&amp;A633&amp;B633&amp;C633&amp;"""/&gt;&lt;/label&gt;&lt;/th&gt;&lt;/tr&gt;"</f>
        <v>&lt;tr&gt;&lt;th colspan="3"&gt;&lt;label&gt;&lt;input type="checkbox" class="section-toggle" data-section="641"/&gt;&lt;/label&gt;&lt;/th&gt;&lt;/tr&gt;</v>
      </c>
    </row>
    <row r="635" spans="1:9" ht="15" customHeight="1" x14ac:dyDescent="0.25">
      <c r="A635" s="8">
        <v>6</v>
      </c>
      <c r="B635" s="8">
        <v>4</v>
      </c>
      <c r="C635" s="8">
        <v>2</v>
      </c>
      <c r="D635" s="94" t="s">
        <v>219</v>
      </c>
      <c r="E635" s="7">
        <v>0.6</v>
      </c>
      <c r="F635" s="74">
        <f t="shared" ref="F635:F636" si="172">$E$5*E635</f>
        <v>54</v>
      </c>
      <c r="G635" s="8">
        <f t="shared" si="168"/>
        <v>60</v>
      </c>
      <c r="H635" s="8" t="str" cm="1">
        <f t="array" ref="H635">GetColorMatchValue(F635, $F$3:$F$10)</f>
        <v>os</v>
      </c>
      <c r="I635" s="101" t="str">
        <f t="shared" ref="I635:I636" si="173">"&lt;tr data-section="""&amp;A634&amp;B634&amp;C634&amp;"""&gt;&lt;td&gt;"&amp;D634&amp;"&lt;/td&gt;&lt;td&gt;"&amp;G634&amp;"%&lt;/td&gt;&lt;td&gt;${percent("&amp;H634&amp;", "&amp;G634&amp;")}kg&lt;/td&gt;&lt;/tr&gt;"</f>
        <v>&lt;tr data-section="642"&gt;&lt;td&gt;Power Snatch + Behind the Neck Snatch Grip Push Press + Overhead Squat&lt;/td&gt;&lt;td&gt;%&lt;/td&gt;&lt;td&gt;${percent(, )}kg&lt;/td&gt;&lt;/tr&gt;</v>
      </c>
    </row>
    <row r="636" spans="1:9" ht="15" customHeight="1" x14ac:dyDescent="0.25">
      <c r="A636" s="8">
        <v>6</v>
      </c>
      <c r="B636" s="8">
        <v>4</v>
      </c>
      <c r="C636" s="8">
        <v>2</v>
      </c>
      <c r="D636" s="94" t="s">
        <v>218</v>
      </c>
      <c r="E636" s="7">
        <v>0.7</v>
      </c>
      <c r="F636" s="74">
        <f t="shared" si="172"/>
        <v>62.999999999999993</v>
      </c>
      <c r="G636" s="8">
        <f t="shared" si="168"/>
        <v>70</v>
      </c>
      <c r="H636" s="8" t="str" cm="1">
        <f t="array" ref="H636">GetColorMatchValue(F636, $F$3:$F$10)</f>
        <v>os</v>
      </c>
      <c r="I636" s="101" t="str">
        <f t="shared" si="173"/>
        <v>&lt;tr data-section="642"&gt;&lt;td&gt;1 Set of 3 P.Sn. + 3 B.N.Sn.G.P.Pr. + 3 Oh.S.&lt;/td&gt;&lt;td&gt;60%&lt;/td&gt;&lt;td&gt;${percent(os, 60)}kg&lt;/td&gt;&lt;/tr&gt;</v>
      </c>
    </row>
    <row r="637" spans="1:9" ht="15" customHeight="1" x14ac:dyDescent="0.25">
      <c r="A637" s="8">
        <v>6</v>
      </c>
      <c r="B637" s="8">
        <v>4</v>
      </c>
      <c r="C637" s="8">
        <v>2</v>
      </c>
      <c r="D637" s="94"/>
      <c r="E637" s="8"/>
      <c r="F637" s="71"/>
      <c r="G637" s="8" t="str">
        <f t="shared" si="168"/>
        <v/>
      </c>
      <c r="H637" s="8" t="str" cm="1">
        <f t="array" ref="H637">GetColorMatchValue(F637, $F$3:$F$10)</f>
        <v/>
      </c>
      <c r="I637" s="96" t="s">
        <v>287</v>
      </c>
    </row>
    <row r="638" spans="1:9" ht="15" customHeight="1" x14ac:dyDescent="0.25">
      <c r="A638" s="8">
        <v>6</v>
      </c>
      <c r="B638" s="8">
        <v>4</v>
      </c>
      <c r="C638" s="8">
        <v>3</v>
      </c>
      <c r="D638" s="93" t="s">
        <v>39</v>
      </c>
      <c r="E638" s="8"/>
      <c r="F638" s="71"/>
      <c r="G638" s="8" t="str">
        <f t="shared" si="168"/>
        <v/>
      </c>
      <c r="H638" s="8" t="str" cm="1">
        <f t="array" ref="H638">GetColorMatchValue(F638, $F$3:$F$10)</f>
        <v/>
      </c>
      <c r="I638" s="99" t="str">
        <f>"&lt;tr&gt;&lt;th colspan=""3""&gt;&lt;label&gt;"&amp;D637&amp;"&lt;input type=""checkbox"" class=""section-toggle"" data-section="""&amp;A637&amp;B637&amp;C637&amp;"""/&gt;&lt;/label&gt;&lt;/th&gt;&lt;/tr&gt;"</f>
        <v>&lt;tr&gt;&lt;th colspan="3"&gt;&lt;label&gt;&lt;input type="checkbox" class="section-toggle" data-section="642"/&gt;&lt;/label&gt;&lt;/th&gt;&lt;/tr&gt;</v>
      </c>
    </row>
    <row r="639" spans="1:9" ht="15" customHeight="1" x14ac:dyDescent="0.25">
      <c r="A639" s="8">
        <v>6</v>
      </c>
      <c r="B639" s="8">
        <v>4</v>
      </c>
      <c r="C639" s="8">
        <v>3</v>
      </c>
      <c r="D639" s="94" t="s">
        <v>217</v>
      </c>
      <c r="E639" s="7">
        <v>0.6</v>
      </c>
      <c r="F639" s="77">
        <f>$E$8*E639</f>
        <v>69</v>
      </c>
      <c r="G639" s="8">
        <f t="shared" si="168"/>
        <v>60</v>
      </c>
      <c r="H639" s="8" t="str" cm="1">
        <f t="array" ref="H639">GetColorMatchValue(F639, $F$3:$F$10)</f>
        <v>cj</v>
      </c>
      <c r="I639" s="101" t="str">
        <f t="shared" ref="I639:I640" si="174">"&lt;tr data-section="""&amp;A638&amp;B638&amp;C638&amp;"""&gt;&lt;td&gt;"&amp;D638&amp;"&lt;/td&gt;&lt;td&gt;"&amp;G638&amp;"%&lt;/td&gt;&lt;td&gt;${percent("&amp;H638&amp;", "&amp;G638&amp;")}kg&lt;/td&gt;&lt;/tr&gt;"</f>
        <v>&lt;tr data-section="643"&gt;&lt;td&gt;Power Clean + Front Squat + Jerk&lt;/td&gt;&lt;td&gt;%&lt;/td&gt;&lt;td&gt;${percent(, )}kg&lt;/td&gt;&lt;/tr&gt;</v>
      </c>
    </row>
    <row r="640" spans="1:9" ht="15" customHeight="1" x14ac:dyDescent="0.25">
      <c r="A640" s="8">
        <v>6</v>
      </c>
      <c r="B640" s="8">
        <v>4</v>
      </c>
      <c r="C640" s="8">
        <v>3</v>
      </c>
      <c r="D640" s="94" t="s">
        <v>216</v>
      </c>
      <c r="E640" s="7">
        <v>0.7</v>
      </c>
      <c r="F640" s="77">
        <f>$E$8*E640</f>
        <v>80.5</v>
      </c>
      <c r="G640" s="8">
        <f t="shared" si="168"/>
        <v>70</v>
      </c>
      <c r="H640" s="8" t="str" cm="1">
        <f t="array" ref="H640">GetColorMatchValue(F640, $F$3:$F$10)</f>
        <v>cj</v>
      </c>
      <c r="I640" s="101" t="str">
        <f t="shared" si="174"/>
        <v>&lt;tr data-section="643"&gt;&lt;td&gt;1 Set of 3 P.Cl. + 3 F.S. + 3 Jr.&lt;/td&gt;&lt;td&gt;60%&lt;/td&gt;&lt;td&gt;${percent(cj, 60)}kg&lt;/td&gt;&lt;/tr&gt;</v>
      </c>
    </row>
  </sheetData>
  <autoFilter ref="A12:I640" xr:uid="{78ED3EE5-23A5-409C-A53D-9D978ECB499A}"/>
  <hyperlinks>
    <hyperlink ref="D1" r:id="rId1" xr:uid="{2D5681B8-A124-471E-A403-15EC4F834064}"/>
  </hyperlinks>
  <pageMargins left="0.7" right="0.7" top="0.75" bottom="0.75" header="0.3" footer="0.3"/>
  <pageSetup orientation="portrait" r:id="rId2"/>
  <ignoredErrors>
    <ignoredError sqref="G237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Inputs</vt:lpstr>
      <vt:lpstr>Week 1</vt:lpstr>
      <vt:lpstr>Week 2</vt:lpstr>
      <vt:lpstr>Week 3</vt:lpstr>
      <vt:lpstr>Week 4</vt:lpstr>
      <vt:lpstr>Week 5</vt:lpstr>
      <vt:lpstr>Week 6</vt:lpstr>
      <vt:lpstr>All Data</vt:lpstr>
      <vt:lpstr>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Pamalynne Nel</dc:creator>
  <cp:lastModifiedBy>Pamalynne Nel</cp:lastModifiedBy>
  <dcterms:created xsi:type="dcterms:W3CDTF">2025-06-13T09:45:59Z</dcterms:created>
  <dcterms:modified xsi:type="dcterms:W3CDTF">2025-07-17T13:53:29Z</dcterms:modified>
</cp:coreProperties>
</file>